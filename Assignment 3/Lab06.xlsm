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2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imransinha/Documents/Semester 3/SDA/Assignments/Week 3/"/>
    </mc:Choice>
  </mc:AlternateContent>
  <xr:revisionPtr revIDLastSave="0" documentId="13_ncr:1_{AFC0ECA5-C5F1-4B4F-B6FE-8C50B1ABD002}" xr6:coauthVersionLast="47" xr6:coauthVersionMax="47" xr10:uidLastSave="{00000000-0000-0000-0000-000000000000}"/>
  <bookViews>
    <workbookView xWindow="0" yWindow="740" windowWidth="29400" windowHeight="18380" tabRatio="500" activeTab="7" xr2:uid="{00000000-000D-0000-FFFF-FFFF00000000}"/>
  </bookViews>
  <sheets>
    <sheet name="CurrentStaff" sheetId="4" r:id="rId1"/>
    <sheet name="Phone Numbers" sheetId="11" r:id="rId2"/>
    <sheet name="ProductAttributes" sheetId="13" r:id="rId3"/>
    <sheet name="Profits" sheetId="16" r:id="rId4"/>
    <sheet name="Names" sheetId="15" r:id="rId5"/>
    <sheet name="Colors" sheetId="17" r:id="rId6"/>
    <sheet name="Products" sheetId="18" r:id="rId7"/>
    <sheet name="Capitalized" sheetId="19" r:id="rId8"/>
  </sheets>
  <functionGroups builtInGroupCount="19"/>
  <externalReferences>
    <externalReference r:id="rId9"/>
    <externalReference r:id="rId10"/>
    <externalReference r:id="rId11"/>
  </externalReferences>
  <definedNames>
    <definedName name="_xlnm._FilterDatabase" localSheetId="0" hidden="1">CurrentStaff!$B:$B</definedName>
    <definedName name="_xlnm._FilterDatabase" localSheetId="4" hidden="1">Names!$A$1:$A$1201</definedName>
    <definedName name="BigTaxTable">[1]FifthLineFormatting!$F$3:$M$23</definedName>
    <definedName name="Dates">OFFSET([2]Dynamic!$A$2,0,0,COUNTA([2]Dynamic!$A$1:$A$65536)-1,1)</definedName>
    <definedName name="ee" localSheetId="4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Income">#REF!</definedName>
    <definedName name="k" localSheetId="4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_xlnm.Recorder">#REF!</definedName>
    <definedName name="rr" localSheetId="4" hidden="1">{"FirstQ",#N/A,FALSE,"Budget2000";"SecondQ",#N/A,FALSE,"Budget2000"}</definedName>
    <definedName name="rr" localSheetId="2" hidden="1">{"FirstQ",#N/A,FALSE,"Budget2000";"SecondQ",#N/A,FALSE,"Budget2000"}</definedName>
    <definedName name="rr" localSheetId="3" hidden="1">{"FirstQ",#N/A,FALSE,"Budget2000";"SecondQ",#N/A,FALSE,"Budget2000"}</definedName>
    <definedName name="rr" hidden="1">{"FirstQ",#N/A,FALSE,"Budget2000";"SecondQ",#N/A,FALSE,"Budget2000"}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3" hidden="1">Profits!$B$3:$G$3,Profits!$B$4:$G$4</definedName>
    <definedName name="solver_cvg" localSheetId="3" hidden="1">0.0001</definedName>
    <definedName name="solver_drv" localSheetId="3" hidden="1">1</definedName>
    <definedName name="solver_est" localSheetId="3" hidden="1">1</definedName>
    <definedName name="solver_itr" localSheetId="3" hidden="1">100</definedName>
    <definedName name="solver_lhs1" localSheetId="3" hidden="1">Profits!$B$3:$G$3</definedName>
    <definedName name="solver_lhs2" localSheetId="3" hidden="1">Profits!$B$4:$G$4</definedName>
    <definedName name="solver_lin" localSheetId="3" hidden="1">2</definedName>
    <definedName name="solver_neg" localSheetId="3" hidden="1">2</definedName>
    <definedName name="solver_num" localSheetId="3" hidden="1">2</definedName>
    <definedName name="solver_nwt" localSheetId="3" hidden="1">1</definedName>
    <definedName name="solver_opt" localSheetId="3" hidden="1">Profits!$H$5</definedName>
    <definedName name="solver_pre" localSheetId="3" hidden="1">0.000001</definedName>
    <definedName name="solver_rel1" localSheetId="3" hidden="1">1</definedName>
    <definedName name="solver_rel2" localSheetId="3" hidden="1">1</definedName>
    <definedName name="solver_rhs1" localSheetId="3" hidden="1">500</definedName>
    <definedName name="solver_rhs2" localSheetId="3" hidden="1">350</definedName>
    <definedName name="solver_scl" localSheetId="3" hidden="1">2</definedName>
    <definedName name="solver_sho" localSheetId="3" hidden="1">1</definedName>
    <definedName name="solver_tim" localSheetId="3" hidden="1">100</definedName>
    <definedName name="solver_tol" localSheetId="3" hidden="1">0.05</definedName>
    <definedName name="solver_typ" localSheetId="3" hidden="1">3</definedName>
    <definedName name="solver_val" localSheetId="3" hidden="1">500</definedName>
    <definedName name="Status">'[3]Original List'!#REF!</definedName>
    <definedName name="wrn.AllData." localSheetId="4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4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hidden="1">{"FirstQ",#N/A,FALSE,"Budget2000";"SecondQ",#N/A,FALSE,"Budget2000"}</definedName>
    <definedName name="x" localSheetId="4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6" l="1"/>
  <c r="C5" i="16"/>
  <c r="D5" i="16"/>
  <c r="E5" i="16"/>
  <c r="F5" i="16"/>
  <c r="G5" i="16"/>
  <c r="H14" i="16"/>
  <c r="G14" i="16"/>
  <c r="F14" i="16"/>
  <c r="E14" i="16"/>
  <c r="D14" i="16"/>
  <c r="C14" i="16"/>
  <c r="B14" i="16"/>
  <c r="H13" i="16"/>
  <c r="G13" i="16"/>
  <c r="F13" i="16"/>
  <c r="E13" i="16"/>
  <c r="D13" i="16"/>
  <c r="C13" i="16"/>
  <c r="B13" i="16"/>
  <c r="H12" i="16"/>
  <c r="G12" i="16"/>
  <c r="F12" i="16"/>
  <c r="E12" i="16"/>
  <c r="D12" i="16"/>
  <c r="C12" i="16"/>
  <c r="B12" i="16"/>
  <c r="G10" i="16"/>
  <c r="F10" i="16"/>
  <c r="E10" i="16"/>
  <c r="D10" i="16"/>
  <c r="C10" i="16"/>
  <c r="G9" i="16"/>
  <c r="F9" i="16"/>
  <c r="E9" i="16"/>
  <c r="D9" i="16"/>
  <c r="C9" i="16"/>
  <c r="G8" i="16"/>
  <c r="F8" i="16"/>
  <c r="E8" i="16"/>
  <c r="D8" i="16"/>
  <c r="C8" i="16"/>
  <c r="G62" i="4"/>
  <c r="G259" i="4"/>
  <c r="G678" i="4"/>
  <c r="G77" i="4"/>
  <c r="G526" i="4"/>
  <c r="G415" i="4"/>
  <c r="G94" i="4"/>
  <c r="G450" i="4"/>
  <c r="G515" i="4"/>
  <c r="G590" i="4"/>
  <c r="G329" i="4"/>
  <c r="G128" i="4"/>
  <c r="G275" i="4"/>
  <c r="G149" i="4"/>
  <c r="G304" i="4"/>
  <c r="G569" i="4"/>
  <c r="G453" i="4"/>
  <c r="G452" i="4"/>
  <c r="G675" i="4"/>
  <c r="G271" i="4"/>
  <c r="G108" i="4"/>
  <c r="G138" i="4"/>
  <c r="G356" i="4"/>
  <c r="G571" i="4"/>
  <c r="G468" i="4"/>
  <c r="G305" i="4"/>
  <c r="G64" i="4"/>
  <c r="G131" i="4"/>
  <c r="G70" i="4"/>
  <c r="G494" i="4"/>
  <c r="G202" i="4"/>
  <c r="G495" i="4"/>
  <c r="G512" i="4"/>
  <c r="G267" i="4"/>
  <c r="G693" i="4"/>
  <c r="G584" i="4"/>
  <c r="G197" i="4"/>
  <c r="G500" i="4"/>
  <c r="G58" i="4"/>
  <c r="G465" i="4"/>
  <c r="G129" i="4"/>
  <c r="G122" i="4"/>
  <c r="G510" i="4"/>
  <c r="G179" i="4"/>
  <c r="G143" i="4"/>
  <c r="G457" i="4"/>
  <c r="G87" i="4"/>
  <c r="G242" i="4"/>
  <c r="G384" i="4"/>
  <c r="G159" i="4"/>
  <c r="G645" i="4"/>
  <c r="G286" i="4"/>
  <c r="G229" i="4"/>
  <c r="G13" i="4"/>
  <c r="G46" i="4"/>
  <c r="G403" i="4"/>
  <c r="G326" i="4"/>
  <c r="G341" i="4"/>
  <c r="G90" i="4"/>
  <c r="G398" i="4"/>
  <c r="G426" i="4"/>
  <c r="G421" i="4"/>
  <c r="G105" i="4"/>
  <c r="G640" i="4"/>
  <c r="G272" i="4"/>
  <c r="G414" i="4"/>
  <c r="G74" i="4"/>
  <c r="G101" i="4"/>
  <c r="G188" i="4"/>
  <c r="G644" i="4"/>
  <c r="G559" i="4"/>
  <c r="G163" i="4"/>
  <c r="G401" i="4"/>
  <c r="G699" i="4"/>
  <c r="G374" i="4"/>
  <c r="G561" i="4"/>
  <c r="G642" i="4"/>
  <c r="G352" i="4"/>
  <c r="G258" i="4"/>
  <c r="G67" i="4"/>
  <c r="G126" i="4"/>
  <c r="G368" i="4"/>
  <c r="G544" i="4"/>
  <c r="G81" i="4"/>
  <c r="G153" i="4"/>
  <c r="G589" i="4"/>
  <c r="G552" i="4"/>
  <c r="G325" i="4"/>
  <c r="G416" i="4"/>
  <c r="G178" i="4"/>
  <c r="G251" i="4"/>
  <c r="G524" i="4"/>
  <c r="G72" i="4"/>
  <c r="G435" i="4"/>
  <c r="G75" i="4"/>
  <c r="G529" i="4"/>
  <c r="G399" i="4"/>
  <c r="G616" i="4"/>
  <c r="G139" i="4"/>
  <c r="G216" i="4"/>
  <c r="G227" i="4"/>
  <c r="G162" i="4"/>
  <c r="G110" i="4"/>
  <c r="G11" i="4"/>
  <c r="G191" i="4"/>
  <c r="G240" i="4"/>
  <c r="G261" i="4"/>
  <c r="G155" i="4"/>
  <c r="G294" i="4"/>
  <c r="G619" i="4"/>
  <c r="G418" i="4"/>
  <c r="G265" i="4"/>
  <c r="G588" i="4"/>
  <c r="G525" i="4"/>
  <c r="G376" i="4"/>
  <c r="G287" i="4"/>
  <c r="G690" i="4"/>
  <c r="G252" i="4"/>
  <c r="G366" i="4"/>
  <c r="G8" i="4"/>
  <c r="G29" i="4"/>
  <c r="G85" i="4"/>
  <c r="G130" i="4"/>
  <c r="G397" i="4"/>
  <c r="G477" i="4"/>
  <c r="G503" i="4"/>
  <c r="G420" i="4"/>
  <c r="G535" i="4"/>
  <c r="G463" i="4"/>
  <c r="G550" i="4"/>
  <c r="G91" i="4"/>
  <c r="G434" i="4"/>
  <c r="G34" i="4"/>
  <c r="G464" i="4"/>
  <c r="G71" i="4"/>
  <c r="G409" i="4"/>
  <c r="G513" i="4"/>
  <c r="G489" i="4"/>
  <c r="G175" i="4"/>
  <c r="G335" i="4"/>
  <c r="G424" i="4"/>
  <c r="G133" i="4"/>
  <c r="G493" i="4"/>
  <c r="G657" i="4"/>
  <c r="G96" i="4"/>
  <c r="G568" i="4"/>
  <c r="G127" i="4"/>
  <c r="G604" i="4"/>
  <c r="G115" i="4"/>
  <c r="G151" i="4"/>
  <c r="G461" i="4"/>
  <c r="G531" i="4"/>
  <c r="G174" i="4"/>
  <c r="G475" i="4"/>
  <c r="G84" i="4"/>
  <c r="G83" i="4"/>
  <c r="G532" i="4"/>
  <c r="G353" i="4"/>
  <c r="G99" i="4"/>
  <c r="G206" i="4"/>
  <c r="G180" i="4"/>
  <c r="G601" i="4"/>
  <c r="G28" i="4"/>
  <c r="G340" i="4"/>
  <c r="G574" i="4"/>
  <c r="G448" i="4"/>
  <c r="G611" i="4"/>
  <c r="G555" i="4"/>
  <c r="G517" i="4"/>
  <c r="G336" i="4"/>
  <c r="G487" i="4"/>
  <c r="G135" i="4"/>
  <c r="G170" i="4"/>
  <c r="G323" i="4"/>
  <c r="G358" i="4"/>
  <c r="G648" i="4"/>
  <c r="G230" i="4"/>
  <c r="G412" i="4"/>
  <c r="G386" i="4"/>
  <c r="G200" i="4"/>
  <c r="G364" i="4"/>
  <c r="G382" i="4"/>
  <c r="G458" i="4"/>
  <c r="G296" i="4"/>
  <c r="G682" i="4"/>
  <c r="G514" i="4"/>
  <c r="G195" i="4"/>
  <c r="G338" i="4"/>
  <c r="G187" i="4"/>
  <c r="G124" i="4"/>
  <c r="G454" i="4"/>
  <c r="G165" i="4"/>
  <c r="G623" i="4"/>
  <c r="G673" i="4"/>
  <c r="G24" i="4"/>
  <c r="G116" i="4"/>
  <c r="G266" i="4"/>
  <c r="G411" i="4"/>
  <c r="G676" i="4"/>
  <c r="G121" i="4"/>
  <c r="G49" i="4"/>
  <c r="G320" i="4"/>
  <c r="G666" i="4"/>
  <c r="G586" i="4"/>
  <c r="G228" i="4"/>
  <c r="G69" i="4"/>
  <c r="G593" i="4"/>
  <c r="G310" i="4"/>
  <c r="G249" i="4"/>
  <c r="G243" i="4"/>
  <c r="G488" i="4"/>
  <c r="G207" i="4"/>
  <c r="G17" i="4"/>
  <c r="G204" i="4"/>
  <c r="G385" i="4"/>
  <c r="G436" i="4"/>
  <c r="G157" i="4"/>
  <c r="G247" i="4"/>
  <c r="G538" i="4"/>
  <c r="G677" i="4"/>
  <c r="G608" i="4"/>
  <c r="G41" i="4"/>
  <c r="G572" i="4"/>
  <c r="G38" i="4"/>
  <c r="G697" i="4"/>
  <c r="G498" i="4"/>
  <c r="G9" i="4"/>
  <c r="G318" i="4"/>
  <c r="G354" i="4"/>
  <c r="G547" i="4"/>
  <c r="G147" i="4"/>
  <c r="G530" i="4"/>
  <c r="G260" i="4"/>
  <c r="G183" i="4"/>
  <c r="G289" i="4"/>
  <c r="G32" i="4"/>
  <c r="G148" i="4"/>
  <c r="G430" i="4"/>
  <c r="G656" i="4"/>
  <c r="G613" i="4"/>
  <c r="G369" i="4"/>
  <c r="G313" i="4"/>
  <c r="G533" i="4"/>
  <c r="G25" i="4"/>
  <c r="G355" i="4"/>
  <c r="G388" i="4"/>
  <c r="G160" i="4"/>
  <c r="G344" i="4"/>
  <c r="G578" i="4"/>
  <c r="G502" i="4"/>
  <c r="G219" i="4"/>
  <c r="G441" i="4"/>
  <c r="G156" i="4"/>
  <c r="G236" i="4"/>
  <c r="G307" i="4"/>
  <c r="G257" i="4"/>
  <c r="G166" i="4"/>
  <c r="G537" i="4"/>
  <c r="G35" i="4"/>
  <c r="G557" i="4"/>
  <c r="G652" i="4"/>
  <c r="G643" i="4"/>
  <c r="G627" i="4"/>
  <c r="G330" i="4"/>
  <c r="G694" i="4"/>
  <c r="G633" i="4"/>
  <c r="G373" i="4"/>
  <c r="G392" i="4"/>
  <c r="G306" i="4"/>
  <c r="G639" i="4"/>
  <c r="G80" i="4"/>
  <c r="G395" i="4"/>
  <c r="G97" i="4"/>
  <c r="G39" i="4"/>
  <c r="G459" i="4"/>
  <c r="G263" i="4"/>
  <c r="G209" i="4"/>
  <c r="G440" i="4"/>
  <c r="G408" i="4"/>
  <c r="G302" i="4"/>
  <c r="G622" i="4"/>
  <c r="G650" i="4"/>
  <c r="G298" i="4"/>
  <c r="G199" i="4"/>
  <c r="G7" i="4"/>
  <c r="G283" i="4"/>
  <c r="G651" i="4"/>
  <c r="G630" i="4"/>
  <c r="G33" i="4"/>
  <c r="G518" i="4"/>
  <c r="G120" i="4"/>
  <c r="G660" i="4"/>
  <c r="G496" i="4"/>
  <c r="G262" i="4"/>
  <c r="G665" i="4"/>
  <c r="G582" i="4"/>
  <c r="G245" i="4"/>
  <c r="G93" i="4"/>
  <c r="G522" i="4"/>
  <c r="G634" i="4"/>
  <c r="G111" i="4"/>
  <c r="G615" i="4"/>
  <c r="G655" i="4"/>
  <c r="G89" i="4"/>
  <c r="G113" i="4"/>
  <c r="G528" i="4"/>
  <c r="G549" i="4"/>
  <c r="G579" i="4"/>
  <c r="G419" i="4"/>
  <c r="G57" i="4"/>
  <c r="G635" i="4"/>
  <c r="G625" i="4"/>
  <c r="G21" i="4"/>
  <c r="G486" i="4"/>
  <c r="G82" i="4"/>
  <c r="G523" i="4"/>
  <c r="G351" i="4"/>
  <c r="G53" i="4"/>
  <c r="G114" i="4"/>
  <c r="G504" i="4"/>
  <c r="G698" i="4"/>
  <c r="G237" i="4"/>
  <c r="G5" i="4"/>
  <c r="G79" i="4"/>
  <c r="G432" i="4"/>
  <c r="G295" i="4"/>
  <c r="G425" i="4"/>
  <c r="G322" i="4"/>
  <c r="G527" i="4"/>
  <c r="G60" i="4"/>
  <c r="G222" i="4"/>
  <c r="G316" i="4"/>
  <c r="G438" i="4"/>
  <c r="G43" i="4"/>
  <c r="G241" i="4"/>
  <c r="G618" i="4"/>
  <c r="G554" i="4"/>
  <c r="G337" i="4"/>
  <c r="G250" i="4"/>
  <c r="G672" i="4"/>
  <c r="G309" i="4"/>
  <c r="G324" i="4"/>
  <c r="G104" i="4"/>
  <c r="G276" i="4"/>
  <c r="G359" i="4"/>
  <c r="G291" i="4"/>
  <c r="G362" i="4"/>
  <c r="G577" i="4"/>
  <c r="G333" i="4"/>
  <c r="G208" i="4"/>
  <c r="G456" i="4"/>
  <c r="G566" i="4"/>
  <c r="G499" i="4"/>
  <c r="G595" i="4"/>
  <c r="G68" i="4"/>
  <c r="G65" i="4"/>
  <c r="G596" i="4"/>
  <c r="G239" i="4"/>
  <c r="G54" i="4"/>
  <c r="G407" i="4"/>
  <c r="G150" i="4"/>
  <c r="G563" i="4"/>
  <c r="G117" i="4"/>
  <c r="G540" i="4"/>
  <c r="G428" i="4"/>
  <c r="G370" i="4"/>
  <c r="G637" i="4"/>
  <c r="G417" i="4"/>
  <c r="G483" i="4"/>
  <c r="G583" i="4"/>
  <c r="G466" i="4"/>
  <c r="G661" i="4"/>
  <c r="G602" i="4"/>
  <c r="G460" i="4"/>
  <c r="G98" i="4"/>
  <c r="G484" i="4"/>
  <c r="G76" i="4"/>
  <c r="G365" i="4"/>
  <c r="G357" i="4"/>
  <c r="G4" i="4"/>
  <c r="G109" i="4"/>
  <c r="G106" i="4"/>
  <c r="G292" i="4"/>
  <c r="G431" i="4"/>
  <c r="G437" i="4"/>
  <c r="G234" i="4"/>
  <c r="G570" i="4"/>
  <c r="G636" i="4"/>
  <c r="G662" i="4"/>
  <c r="G695" i="4"/>
  <c r="G562" i="4"/>
  <c r="G59" i="4"/>
  <c r="G506" i="4"/>
  <c r="G36" i="4"/>
  <c r="G314" i="4"/>
  <c r="G508" i="4"/>
  <c r="G462" i="4"/>
  <c r="G264" i="4"/>
  <c r="G217" i="4"/>
  <c r="G620" i="4"/>
  <c r="G389" i="4"/>
  <c r="G626" i="4"/>
  <c r="G248" i="4"/>
  <c r="G300" i="4"/>
  <c r="G467" i="4"/>
  <c r="G609" i="4"/>
  <c r="G478" i="4"/>
  <c r="G361" i="4"/>
  <c r="G194" i="4"/>
  <c r="G479" i="4"/>
  <c r="G345" i="4"/>
  <c r="G78" i="4"/>
  <c r="G670" i="4"/>
  <c r="G48" i="4"/>
  <c r="G30" i="4"/>
  <c r="G534" i="4"/>
  <c r="G375" i="4"/>
  <c r="G221" i="4"/>
  <c r="G473" i="4"/>
  <c r="G404" i="4"/>
  <c r="G118" i="4"/>
  <c r="G442" i="4"/>
  <c r="G632" i="4"/>
  <c r="G119" i="4"/>
  <c r="G311" i="4"/>
  <c r="G379" i="4"/>
  <c r="G218" i="4"/>
  <c r="G274" i="4"/>
  <c r="G481" i="4"/>
  <c r="G47" i="4"/>
  <c r="G164" i="4"/>
  <c r="G22" i="4"/>
  <c r="G380" i="4"/>
  <c r="G293" i="4"/>
  <c r="G198" i="4"/>
  <c r="G193" i="4"/>
  <c r="G220" i="4"/>
  <c r="G410" i="4"/>
  <c r="G312" i="4"/>
  <c r="G394" i="4"/>
  <c r="G520" i="4"/>
  <c r="G167" i="4"/>
  <c r="G254" i="4"/>
  <c r="G223" i="4"/>
  <c r="G444" i="4"/>
  <c r="G556" i="4"/>
  <c r="G231" i="4"/>
  <c r="G211" i="4"/>
  <c r="G16" i="4"/>
  <c r="G45" i="4"/>
  <c r="G433" i="4"/>
  <c r="G215" i="4"/>
  <c r="G371" i="4"/>
  <c r="G449" i="4"/>
  <c r="G585" i="4"/>
  <c r="G19" i="4"/>
  <c r="G594" i="4"/>
  <c r="G659" i="4"/>
  <c r="G123" i="4"/>
  <c r="G638" i="4"/>
  <c r="G44" i="4"/>
  <c r="G224" i="4"/>
  <c r="G196" i="4"/>
  <c r="G253" i="4"/>
  <c r="G42" i="4"/>
  <c r="G168" i="4"/>
  <c r="G281" i="4"/>
  <c r="G297" i="4"/>
  <c r="G103" i="4"/>
  <c r="G543" i="4"/>
  <c r="G136" i="4"/>
  <c r="G100" i="4"/>
  <c r="G23" i="4"/>
  <c r="G154" i="4"/>
  <c r="G349" i="4"/>
  <c r="G226" i="4"/>
  <c r="G471" i="4"/>
  <c r="G688" i="4"/>
  <c r="G400" i="4"/>
  <c r="G205" i="4"/>
  <c r="G598" i="4"/>
  <c r="G278" i="4"/>
  <c r="G629" i="4"/>
  <c r="G546" i="4"/>
  <c r="G169" i="4"/>
  <c r="G390" i="4"/>
  <c r="G472" i="4"/>
  <c r="G476" i="4"/>
  <c r="G279" i="4"/>
  <c r="G393" i="4"/>
  <c r="G213" i="4"/>
  <c r="G331" i="4"/>
  <c r="G285" i="4"/>
  <c r="G10" i="4"/>
  <c r="G56" i="4"/>
  <c r="G507" i="4"/>
  <c r="G321" i="4"/>
  <c r="G597" i="4"/>
  <c r="G192" i="4"/>
  <c r="G567" i="4"/>
  <c r="G61" i="4"/>
  <c r="G624" i="4"/>
  <c r="G470" i="4"/>
  <c r="G482" i="4"/>
  <c r="G674" i="4"/>
  <c r="G402" i="4"/>
  <c r="G214" i="4"/>
  <c r="G176" i="4"/>
  <c r="G391" i="4"/>
  <c r="G545" i="4"/>
  <c r="G378" i="4"/>
  <c r="G18" i="4"/>
  <c r="G541" i="4"/>
  <c r="G185" i="4"/>
  <c r="G182" i="4"/>
  <c r="G189" i="4"/>
  <c r="G125" i="4"/>
  <c r="G190" i="4"/>
  <c r="G491" i="4"/>
  <c r="G429" i="4"/>
  <c r="G505" i="4"/>
  <c r="G564" i="4"/>
  <c r="G203" i="4"/>
  <c r="G145" i="4"/>
  <c r="G581" i="4"/>
  <c r="G348" i="4"/>
  <c r="G575" i="4"/>
  <c r="G692" i="4"/>
  <c r="G691" i="4"/>
  <c r="G158" i="4"/>
  <c r="G447" i="4"/>
  <c r="G474" i="4"/>
  <c r="G573" i="4"/>
  <c r="G509" i="4"/>
  <c r="G201" i="4"/>
  <c r="G610" i="4"/>
  <c r="G144" i="4"/>
  <c r="G177" i="4"/>
  <c r="G327" i="4"/>
  <c r="G303" i="4"/>
  <c r="G284" i="4"/>
  <c r="G40" i="4"/>
  <c r="G647" i="4"/>
  <c r="G27" i="4"/>
  <c r="G288" i="4"/>
  <c r="G107" i="4"/>
  <c r="G212" i="4"/>
  <c r="G14" i="4"/>
  <c r="G137" i="4"/>
  <c r="G668" i="4"/>
  <c r="G270" i="4"/>
  <c r="G599" i="4"/>
  <c r="G587" i="4"/>
  <c r="G308" i="4"/>
  <c r="G405" i="4"/>
  <c r="G490" i="4"/>
  <c r="G663" i="4"/>
  <c r="G146" i="4"/>
  <c r="G273" i="4"/>
  <c r="G134" i="4"/>
  <c r="G343" i="4"/>
  <c r="G679" i="4"/>
  <c r="G423" i="4"/>
  <c r="G485" i="4"/>
  <c r="G641" i="4"/>
  <c r="G551" i="4"/>
  <c r="G299" i="4"/>
  <c r="G539" i="4"/>
  <c r="G328" i="4"/>
  <c r="G653" i="4"/>
  <c r="G20" i="4"/>
  <c r="G591" i="4"/>
  <c r="G172" i="4"/>
  <c r="G301" i="4"/>
  <c r="G451" i="4"/>
  <c r="G696" i="4"/>
  <c r="G592" i="4"/>
  <c r="G339" i="4"/>
  <c r="G600" i="4"/>
  <c r="G232" i="4"/>
  <c r="G621" i="4"/>
  <c r="G363" i="4"/>
  <c r="G667" i="4"/>
  <c r="G347" i="4"/>
  <c r="G396" i="4"/>
  <c r="G152" i="4"/>
  <c r="G687" i="4"/>
  <c r="G3" i="4"/>
  <c r="G161" i="4"/>
  <c r="G664" i="4"/>
  <c r="G112" i="4"/>
  <c r="G427" i="4"/>
  <c r="G603" i="4"/>
  <c r="G181" i="4"/>
  <c r="G669" i="4"/>
  <c r="G95" i="4"/>
  <c r="G51" i="4"/>
  <c r="G413" i="4"/>
  <c r="G501" i="4"/>
  <c r="G37" i="4"/>
  <c r="G2" i="4"/>
  <c r="G519" i="4"/>
  <c r="G315" i="4"/>
  <c r="G381" i="4"/>
  <c r="G649" i="4"/>
  <c r="G290" i="4"/>
  <c r="G52" i="4"/>
  <c r="G55" i="4"/>
  <c r="G681" i="4"/>
  <c r="G141" i="4"/>
  <c r="G233" i="4"/>
  <c r="G686" i="4"/>
  <c r="G548" i="4"/>
  <c r="G26" i="4"/>
  <c r="G631" i="4"/>
  <c r="G225" i="4"/>
  <c r="G612" i="4"/>
  <c r="G372" i="4"/>
  <c r="G246" i="4"/>
  <c r="G6" i="4"/>
  <c r="G383" i="4"/>
  <c r="G542" i="4"/>
  <c r="G443" i="4"/>
  <c r="G480" i="4"/>
  <c r="G536" i="4"/>
  <c r="G511" i="4"/>
  <c r="G680" i="4"/>
  <c r="G606" i="4"/>
  <c r="G497" i="4"/>
  <c r="G92" i="4"/>
  <c r="G50" i="4"/>
  <c r="G88" i="4"/>
  <c r="G73" i="4"/>
  <c r="G31" i="4"/>
  <c r="G268" i="4"/>
  <c r="G628" i="4"/>
  <c r="G469" i="4"/>
  <c r="G605" i="4"/>
  <c r="G235" i="4"/>
  <c r="G102" i="4"/>
  <c r="G446" i="4"/>
  <c r="G15" i="4"/>
  <c r="G269" i="4"/>
  <c r="G282" i="4"/>
  <c r="G173" i="4"/>
  <c r="G142" i="4"/>
  <c r="G684" i="4"/>
  <c r="G439" i="4"/>
  <c r="G332" i="4"/>
  <c r="G614" i="4"/>
  <c r="G387" i="4"/>
  <c r="G683" i="4"/>
  <c r="G406" i="4"/>
  <c r="G553" i="4"/>
  <c r="G565" i="4"/>
  <c r="G654" i="4"/>
  <c r="G360" i="4"/>
  <c r="G63" i="4"/>
  <c r="G319" i="4"/>
  <c r="G317" i="4"/>
  <c r="G171" i="4"/>
  <c r="G66" i="4"/>
  <c r="G689" i="4"/>
  <c r="G255" i="4"/>
  <c r="G184" i="4"/>
  <c r="G140" i="4"/>
  <c r="G685" i="4"/>
  <c r="G445" i="4"/>
  <c r="G558" i="4"/>
  <c r="G12" i="4"/>
  <c r="G580" i="4"/>
  <c r="G210" i="4"/>
  <c r="G86" i="4"/>
  <c r="G342" i="4"/>
  <c r="G422" i="4"/>
  <c r="G576" i="4"/>
  <c r="G377" i="4"/>
  <c r="G334" i="4"/>
  <c r="G244" i="4"/>
  <c r="G658" i="4"/>
  <c r="G256" i="4"/>
  <c r="G560" i="4"/>
  <c r="G186" i="4"/>
  <c r="G671" i="4"/>
  <c r="G617" i="4"/>
  <c r="G455" i="4"/>
  <c r="G607" i="4"/>
  <c r="G367" i="4"/>
  <c r="G492" i="4"/>
  <c r="G132" i="4"/>
  <c r="G277" i="4"/>
  <c r="G646" i="4"/>
  <c r="G521" i="4"/>
  <c r="G516" i="4"/>
  <c r="G350" i="4"/>
  <c r="G280" i="4"/>
  <c r="G238" i="4"/>
  <c r="G346" i="4"/>
  <c r="B10" i="17" a="1"/>
  <c r="B10" i="1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<sst xmlns="http://schemas.openxmlformats.org/spreadsheetml/2006/main" count="4973" uniqueCount="1739">
  <si>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</si>
  <si>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</si>
  <si>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</si>
  <si>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</si>
  <si>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</si>
  <si>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</si>
  <si>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</si>
  <si>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</si>
  <si>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</si>
  <si>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</si>
  <si>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</si>
  <si>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</si>
  <si>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</si>
  <si>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</si>
  <si>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</si>
  <si>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</si>
  <si>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</si>
  <si>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</si>
  <si>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</si>
  <si>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</si>
  <si>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</si>
  <si>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</si>
  <si>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</si>
  <si>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</si>
  <si>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</si>
  <si>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</si>
  <si>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</si>
  <si>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</si>
  <si>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</si>
  <si>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</si>
  <si>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</si>
  <si>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</si>
  <si>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</si>
  <si>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</si>
  <si>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</si>
  <si>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</si>
  <si>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</si>
  <si>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</si>
  <si>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</si>
  <si>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</si>
  <si>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</si>
  <si>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</si>
  <si>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</si>
  <si>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</si>
  <si>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</si>
  <si>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</si>
  <si>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</si>
  <si>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</si>
  <si>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</si>
  <si>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</si>
  <si>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</si>
  <si>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</si>
  <si>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</si>
  <si>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</si>
  <si>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</si>
  <si>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</si>
  <si>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</si>
  <si>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</si>
  <si>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</si>
  <si>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</si>
  <si>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</si>
  <si>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</si>
  <si>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</si>
  <si>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</si>
  <si>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</si>
  <si>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</si>
  <si>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</si>
  <si>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</si>
  <si>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</si>
  <si>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</si>
  <si>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</si>
  <si>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</si>
  <si>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</si>
  <si>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</si>
  <si>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</si>
  <si>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</si>
  <si>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</si>
  <si>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</si>
  <si>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</si>
  <si>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</si>
  <si>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</si>
  <si>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</si>
  <si>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</si>
  <si>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</si>
  <si>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</si>
  <si>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</si>
  <si>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</si>
  <si>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</si>
  <si>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</si>
  <si>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</si>
  <si>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</si>
  <si>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</si>
  <si>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</si>
  <si>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</si>
  <si>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</si>
  <si>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</si>
  <si>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</si>
  <si>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</si>
  <si>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</si>
  <si>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</si>
  <si>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</si>
  <si>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</si>
  <si>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</si>
  <si>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</si>
  <si>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</si>
  <si>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</si>
  <si>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</si>
  <si>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</si>
  <si>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</si>
  <si>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</si>
  <si>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</si>
  <si>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</si>
  <si>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</si>
  <si>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</si>
  <si>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</si>
  <si>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</si>
  <si>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</si>
  <si>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</si>
  <si>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</si>
  <si>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</si>
  <si>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</si>
  <si>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</si>
  <si>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</si>
  <si>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</si>
  <si>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</si>
  <si>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</si>
  <si>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</si>
  <si>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</si>
  <si>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</si>
  <si>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</si>
  <si>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</si>
  <si>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</si>
  <si>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</si>
  <si>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</si>
  <si>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</si>
  <si>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</si>
  <si>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</si>
  <si>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</si>
  <si>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</si>
  <si>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</si>
  <si>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</si>
  <si>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</si>
  <si>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</si>
  <si>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</si>
  <si>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</si>
  <si>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</si>
  <si>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</si>
  <si>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</si>
  <si>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</si>
  <si>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</si>
  <si>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</si>
  <si>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</si>
  <si>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</si>
  <si>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</si>
  <si>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</si>
  <si>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</si>
  <si>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</si>
  <si>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</si>
  <si>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</si>
  <si>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</si>
  <si>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</si>
  <si>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</si>
  <si>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</si>
  <si>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</si>
  <si>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</si>
  <si>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</si>
  <si>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</si>
  <si>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</si>
  <si>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</si>
  <si>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</si>
  <si>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</si>
  <si>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</si>
  <si>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</si>
  <si>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</si>
  <si>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</si>
  <si>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</si>
  <si>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</si>
  <si>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</si>
  <si>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</si>
  <si>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</si>
  <si>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</si>
  <si>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</si>
  <si>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</si>
  <si>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</si>
  <si>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</si>
  <si>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</si>
  <si>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</si>
  <si>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</si>
  <si>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</si>
  <si>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</si>
  <si>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</si>
  <si>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</si>
  <si>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</si>
  <si>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</si>
  <si>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</si>
  <si>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</si>
  <si>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</si>
  <si>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</si>
  <si>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</si>
  <si>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</si>
  <si>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</si>
  <si>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</si>
  <si>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</si>
  <si>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</si>
  <si>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</si>
  <si>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</si>
  <si>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</si>
  <si>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</si>
  <si>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</si>
  <si>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</si>
  <si>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</si>
  <si>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</si>
  <si>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</si>
  <si>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</si>
  <si>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</si>
  <si>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</si>
  <si>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</si>
  <si>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</si>
  <si>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</si>
  <si>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</si>
  <si>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</si>
  <si>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</si>
  <si>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</si>
  <si>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</si>
  <si>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</si>
  <si>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</si>
  <si>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</si>
  <si>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</si>
  <si>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</si>
  <si>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</si>
  <si>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</si>
  <si>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</si>
  <si>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</si>
  <si>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</si>
  <si>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</si>
  <si>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</si>
  <si>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</si>
  <si>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</si>
  <si>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</si>
  <si>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</si>
  <si>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</si>
  <si>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</si>
  <si>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</si>
  <si>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</si>
  <si>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</si>
  <si>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</si>
  <si>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</si>
  <si>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</si>
  <si>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</si>
  <si>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</si>
  <si>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</si>
  <si>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</si>
  <si>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</si>
  <si>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</si>
  <si>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</si>
  <si>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</si>
  <si>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</si>
  <si>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</si>
  <si>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</si>
  <si>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</si>
  <si>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</si>
  <si>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</si>
  <si>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</si>
  <si>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</si>
  <si>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</si>
  <si>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</si>
  <si>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</si>
  <si>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</si>
  <si>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</si>
  <si>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</si>
  <si>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</si>
  <si>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</si>
  <si>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</si>
  <si>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</si>
  <si>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</si>
  <si>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</si>
  <si>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</si>
  <si>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</si>
  <si>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</si>
  <si>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</si>
  <si>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</si>
  <si>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</si>
  <si>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</si>
  <si>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</si>
  <si>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</si>
  <si>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</si>
  <si>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</si>
  <si>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</si>
  <si>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</si>
  <si>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</si>
  <si>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</si>
  <si>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</si>
  <si>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</si>
  <si>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</si>
  <si>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</si>
  <si>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</si>
  <si>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</si>
  <si>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</si>
  <si>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</si>
  <si>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</si>
  <si>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</si>
  <si>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</si>
  <si>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</si>
  <si>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</si>
  <si>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</si>
  <si>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</si>
  <si>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</si>
  <si>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</si>
  <si>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</si>
  <si>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</si>
  <si>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</si>
  <si>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</si>
  <si>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</si>
  <si>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</si>
  <si>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</si>
  <si>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</si>
  <si>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</si>
  <si>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</si>
  <si>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</si>
  <si>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</si>
  <si>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</si>
  <si>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</si>
  <si>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</si>
  <si>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</si>
  <si>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</si>
  <si>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</si>
  <si>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</si>
  <si>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</si>
  <si>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</si>
  <si>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</si>
  <si>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</si>
  <si>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</si>
  <si>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</si>
  <si>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</si>
  <si>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</si>
  <si>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</si>
  <si>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</si>
  <si>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</si>
  <si>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</si>
  <si>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</si>
  <si>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</si>
  <si>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</si>
  <si>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</si>
  <si>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</si>
  <si>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</si>
  <si>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</si>
  <si>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</si>
  <si>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</si>
  <si>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</si>
  <si>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</si>
  <si>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</si>
  <si>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</si>
  <si>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</si>
  <si>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</si>
  <si>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</si>
  <si>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</si>
  <si>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</si>
  <si>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</si>
  <si>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</si>
  <si>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</si>
  <si>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</si>
  <si>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</si>
  <si>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</si>
  <si>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</si>
  <si>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</si>
  <si>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</si>
  <si>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</si>
  <si>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</si>
  <si>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</si>
  <si>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</si>
  <si>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</si>
  <si>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</si>
  <si>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</si>
  <si>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</si>
  <si>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</si>
  <si>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</si>
  <si>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</si>
  <si>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</si>
  <si>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</si>
  <si>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</si>
  <si>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</si>
  <si>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</si>
  <si>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</si>
  <si>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</si>
  <si>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</si>
  <si>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</si>
  <si>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</si>
  <si>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</si>
  <si>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</si>
  <si>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</si>
  <si>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</si>
  <si>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</si>
  <si>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</si>
  <si>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</si>
  <si>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</si>
  <si>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</si>
  <si>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</si>
  <si>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</si>
  <si>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</si>
  <si>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</si>
  <si>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</si>
  <si>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</si>
  <si>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</si>
  <si>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</si>
  <si>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</si>
  <si>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</si>
  <si>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</si>
  <si>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</si>
  <si>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</si>
  <si>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</si>
  <si>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</si>
  <si>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</si>
  <si>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</si>
  <si>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</si>
  <si>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</si>
  <si>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</si>
  <si>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</si>
  <si>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</si>
  <si>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</si>
  <si>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</si>
  <si>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</si>
  <si>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</si>
  <si>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</si>
  <si>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</si>
  <si>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</si>
  <si>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</si>
  <si>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</si>
  <si>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</si>
  <si>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</si>
  <si>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</si>
  <si>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</si>
  <si>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</si>
  <si>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</si>
  <si>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</si>
  <si>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</si>
  <si>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</si>
  <si>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</si>
  <si>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</si>
  <si>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</si>
  <si>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</si>
  <si>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</si>
  <si>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</si>
  <si>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</si>
  <si>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</si>
  <si>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</si>
  <si>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</si>
  <si>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</si>
  <si>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</si>
  <si>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</si>
  <si>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</si>
  <si>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</si>
  <si>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</si>
  <si>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</si>
  <si>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</si>
  <si>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</si>
  <si>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</si>
  <si>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</si>
  <si>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</si>
  <si>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</si>
  <si>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</si>
  <si>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</si>
  <si>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</si>
  <si>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</si>
  <si>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</si>
  <si>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</si>
  <si>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</si>
  <si>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</si>
  <si>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</si>
  <si>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</si>
  <si>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</si>
  <si>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</si>
  <si>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</si>
  <si>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</si>
  <si>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</si>
  <si>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</si>
  <si>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</si>
  <si>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</si>
  <si>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</si>
  <si>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</si>
  <si>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</si>
  <si>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</si>
  <si>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</si>
  <si>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</si>
  <si>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</si>
  <si>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</si>
  <si>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</si>
  <si>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</si>
  <si>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</si>
  <si>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</si>
  <si>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</si>
  <si>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</si>
  <si>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</si>
  <si>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</si>
  <si>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</si>
  <si>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</si>
  <si>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</si>
  <si>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</si>
  <si>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</si>
  <si>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</si>
  <si>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</si>
  <si>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</si>
  <si>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</si>
  <si>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</si>
  <si>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</si>
  <si>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</si>
  <si>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</si>
  <si>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</si>
  <si>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</si>
  <si>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</si>
  <si>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</si>
  <si>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</si>
  <si>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</si>
  <si>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</si>
  <si>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</si>
  <si>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</si>
  <si>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</si>
  <si>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</si>
  <si>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</si>
  <si>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</si>
  <si>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</si>
  <si>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</si>
  <si>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</si>
  <si>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</si>
  <si>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</si>
  <si>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</si>
  <si>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</si>
  <si>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</si>
  <si>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</si>
  <si>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</si>
  <si>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</si>
  <si>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</si>
  <si>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</si>
  <si>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</si>
  <si>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</si>
  <si>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</si>
  <si>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</si>
  <si>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</si>
  <si>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</si>
  <si>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</si>
  <si>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</si>
  <si>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</si>
  <si>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</si>
  <si>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</si>
  <si>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</si>
  <si>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</si>
  <si>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</si>
  <si>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</si>
  <si>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</si>
  <si>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</si>
  <si>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</si>
  <si>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</si>
  <si>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</si>
  <si>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</si>
  <si>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</si>
  <si>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</si>
  <si>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</si>
  <si>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</si>
  <si>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</si>
  <si>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</si>
  <si>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</si>
  <si>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</si>
  <si>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</si>
  <si>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</si>
  <si>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</si>
  <si>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</si>
  <si>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</si>
  <si>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</si>
  <si>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</si>
  <si>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</si>
  <si>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</si>
  <si>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</si>
  <si>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</si>
  <si>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</si>
  <si>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</si>
  <si>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</si>
  <si>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</si>
  <si>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</si>
  <si>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</si>
  <si>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</si>
  <si>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</si>
  <si>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</si>
  <si>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</si>
  <si>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</si>
  <si>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</si>
  <si>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</si>
  <si>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</si>
  <si>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</si>
  <si>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</si>
  <si>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</si>
  <si>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</si>
  <si>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</si>
  <si>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</si>
  <si>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</si>
  <si>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</si>
  <si>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</si>
  <si>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</si>
  <si>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</si>
  <si>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</si>
  <si>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</si>
  <si>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</si>
  <si>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</si>
  <si>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</si>
  <si>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</si>
  <si>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</si>
  <si>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</si>
  <si>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</si>
  <si>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</si>
  <si>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</si>
  <si>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</si>
  <si>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</si>
  <si>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</si>
  <si>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</si>
  <si>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</si>
  <si>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</si>
  <si>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</si>
  <si>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</si>
  <si>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</si>
  <si>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</si>
  <si>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</si>
  <si>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</si>
  <si>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</si>
  <si>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</si>
  <si>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</si>
  <si>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</si>
  <si>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</si>
  <si>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</si>
  <si>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</si>
  <si>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</si>
  <si>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</si>
  <si>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</si>
  <si>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</si>
  <si>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</si>
  <si>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</si>
  <si>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</si>
  <si>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</si>
  <si>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</si>
  <si>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</si>
  <si>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</si>
  <si>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</si>
  <si>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</si>
  <si>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</si>
  <si>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</si>
  <si>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</si>
  <si>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</si>
  <si>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</si>
  <si>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</si>
  <si>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</si>
  <si>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</si>
  <si>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</si>
  <si>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</si>
  <si>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</si>
  <si>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</si>
  <si>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</si>
  <si>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</si>
  <si>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</si>
  <si>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</si>
  <si>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</si>
  <si>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</si>
  <si>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</si>
  <si>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</si>
  <si>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</si>
  <si>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</si>
  <si>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</si>
  <si>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</si>
  <si>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</si>
  <si>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</si>
  <si>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</si>
  <si>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</si>
  <si>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</si>
  <si>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</si>
  <si>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</si>
  <si>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</si>
  <si>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</si>
  <si>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</si>
  <si>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</si>
  <si>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</si>
  <si>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</si>
  <si>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</si>
  <si>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</si>
  <si>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</si>
  <si>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</si>
  <si>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</si>
  <si>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</si>
  <si>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</si>
  <si>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</si>
  <si>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</si>
  <si>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</si>
  <si>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</si>
  <si>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</si>
  <si>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</si>
  <si>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</si>
  <si>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</si>
  <si>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</si>
  <si>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</si>
  <si>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</si>
  <si>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</si>
  <si>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</si>
  <si>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</si>
  <si>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</si>
  <si>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</si>
  <si>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</si>
  <si>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</si>
  <si>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</si>
  <si>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</si>
  <si>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</si>
  <si>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</si>
  <si>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</si>
  <si>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</si>
  <si>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</si>
  <si>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</si>
  <si>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</si>
  <si>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</si>
  <si>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</si>
  <si>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</si>
  <si>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</si>
  <si>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</si>
  <si>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</si>
  <si>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</si>
  <si>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</si>
  <si>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</si>
  <si>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</si>
  <si>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</si>
  <si>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</si>
  <si>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</si>
  <si>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</si>
  <si>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</si>
  <si>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</si>
  <si>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</si>
  <si>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</si>
  <si>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</si>
  <si>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</si>
  <si>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</si>
  <si>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</si>
  <si>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</si>
  <si>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</si>
  <si>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</si>
  <si>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</si>
  <si>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</si>
  <si>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</si>
  <si>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</si>
  <si>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</si>
  <si>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</si>
  <si>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</si>
  <si>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</si>
  <si>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</si>
  <si>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</si>
  <si>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</si>
  <si>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</si>
  <si>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</si>
  <si>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Name</t>
  </si>
  <si>
    <t>Comp</t>
  </si>
  <si>
    <t>Chan, Kevin</t>
  </si>
  <si>
    <t>Garcia, Duane</t>
  </si>
  <si>
    <t>Lynch, Jennifer</t>
  </si>
  <si>
    <t xml:space="preserve">Baker, Leslie </t>
  </si>
  <si>
    <t>(312) 856-2843</t>
  </si>
  <si>
    <t xml:space="preserve">Basso, Cathy </t>
  </si>
  <si>
    <t>(303) 986-9900</t>
  </si>
  <si>
    <t xml:space="preserve">Benabe, Nancy </t>
  </si>
  <si>
    <t>(619) 794-4298</t>
  </si>
  <si>
    <t xml:space="preserve">Boston, Roger </t>
  </si>
  <si>
    <t>(716) 224-7521</t>
  </si>
  <si>
    <t xml:space="preserve">Bradshaw, Jill </t>
  </si>
  <si>
    <t>(510) 842-5252</t>
  </si>
  <si>
    <t xml:space="preserve">Burr, Helen </t>
  </si>
  <si>
    <t>(303) 273-7113</t>
  </si>
  <si>
    <t xml:space="preserve">Cahn, Chris </t>
  </si>
  <si>
    <t>(303) 830-5181</t>
  </si>
  <si>
    <t xml:space="preserve">Clark, Susan </t>
  </si>
  <si>
    <t>(316) 356-6978</t>
  </si>
  <si>
    <t xml:space="preserve">Darling, Jim </t>
  </si>
  <si>
    <t>(303) 492-7264</t>
  </si>
  <si>
    <t xml:space="preserve">DePasse, Greggory </t>
  </si>
  <si>
    <t>(316) 356-6994</t>
  </si>
  <si>
    <t xml:space="preserve">Farnes, Terri </t>
  </si>
  <si>
    <t>(303) 782-9648</t>
  </si>
  <si>
    <t xml:space="preserve">Fink, Karla </t>
  </si>
  <si>
    <t>(619) 794-4296</t>
  </si>
  <si>
    <t xml:space="preserve">Frazee, John </t>
  </si>
  <si>
    <t>(303) 443-9598</t>
  </si>
  <si>
    <t xml:space="preserve">Freeman, Bonnie </t>
  </si>
  <si>
    <t>(303) 830-5869</t>
  </si>
  <si>
    <t xml:space="preserve">Garcia, Nita </t>
  </si>
  <si>
    <t>(303) 581-8320</t>
  </si>
  <si>
    <t xml:space="preserve">Gibbs, Peggy </t>
  </si>
  <si>
    <t>(303) 492-6226</t>
  </si>
  <si>
    <t xml:space="preserve">Graczyk, David </t>
  </si>
  <si>
    <t>(316) 356-6995</t>
  </si>
  <si>
    <t xml:space="preserve">Gregory, Bill </t>
  </si>
  <si>
    <t>(303) 986-9901</t>
  </si>
  <si>
    <t xml:space="preserve">Hall, Eric </t>
  </si>
  <si>
    <t>(619) 794-4299</t>
  </si>
  <si>
    <t xml:space="preserve">Hamilton, Neeta </t>
  </si>
  <si>
    <t>(316) 356-6996</t>
  </si>
  <si>
    <t xml:space="preserve">Hartman, Elinor </t>
  </si>
  <si>
    <t>(312) 856-5235</t>
  </si>
  <si>
    <t xml:space="preserve">Hatfield, Sam </t>
  </si>
  <si>
    <t>(303) 447-2323</t>
  </si>
  <si>
    <t xml:space="preserve">Houck, Nancy </t>
  </si>
  <si>
    <t>(303) 581-8119</t>
  </si>
  <si>
    <t xml:space="preserve">Huckstein, Kathy </t>
  </si>
  <si>
    <t>(303) 466-2400</t>
  </si>
  <si>
    <t xml:space="preserve">Hytner, Sheryl </t>
  </si>
  <si>
    <t>(800) 748-4838</t>
  </si>
  <si>
    <t xml:space="preserve">Jackson, Matt </t>
  </si>
  <si>
    <t>(312) 856-5110</t>
  </si>
  <si>
    <t xml:space="preserve">Jackson, Nancy </t>
  </si>
  <si>
    <t>(303) 581-3111</t>
  </si>
  <si>
    <t xml:space="preserve">Johnson, Gail </t>
  </si>
  <si>
    <t>(505) 326-9448</t>
  </si>
  <si>
    <t xml:space="preserve">Kelly, Steve </t>
  </si>
  <si>
    <t>(505) 326-9450</t>
  </si>
  <si>
    <t xml:space="preserve">Kendall, Joann </t>
  </si>
  <si>
    <t>(303) 575-6206</t>
  </si>
  <si>
    <t xml:space="preserve">Knaus, Linda </t>
  </si>
  <si>
    <t>(303) 792-3112</t>
  </si>
  <si>
    <t xml:space="preserve">Kobus, Jim </t>
  </si>
  <si>
    <t>(316) 356-6993</t>
  </si>
  <si>
    <t xml:space="preserve">Koch, Annette </t>
  </si>
  <si>
    <t>(303) 657-9011</t>
  </si>
  <si>
    <t xml:space="preserve">Kuseski, Linda </t>
  </si>
  <si>
    <t>(303) 763-3687</t>
  </si>
  <si>
    <t xml:space="preserve">Lackner, Lisa </t>
  </si>
  <si>
    <t xml:space="preserve">Larson, Karen </t>
  </si>
  <si>
    <t>(800) 456-4678</t>
  </si>
  <si>
    <t xml:space="preserve">MacLennan, Mike </t>
  </si>
  <si>
    <t>(312) 856-6499</t>
  </si>
  <si>
    <t xml:space="preserve">Martin, Charles </t>
  </si>
  <si>
    <t>(316) 356-6992</t>
  </si>
  <si>
    <t xml:space="preserve">Martinez, Dave </t>
  </si>
  <si>
    <t>(303) 443-9597</t>
  </si>
  <si>
    <t xml:space="preserve">McConnell, Michelle </t>
  </si>
  <si>
    <t>(312) 856-6295</t>
  </si>
  <si>
    <t xml:space="preserve">McCoy, Brian </t>
  </si>
  <si>
    <t>(303) 581-5943</t>
  </si>
  <si>
    <t xml:space="preserve">McManus, Tim </t>
  </si>
  <si>
    <t>(312) 856-5109</t>
  </si>
  <si>
    <t xml:space="preserve">Montgomery, Michelle </t>
  </si>
  <si>
    <t>(312) 856-2568</t>
  </si>
  <si>
    <t xml:space="preserve">Moore, Suzanne </t>
  </si>
  <si>
    <t>(918) 581-3797</t>
  </si>
  <si>
    <t xml:space="preserve">Moyers, Kathy </t>
  </si>
  <si>
    <t>(312) 856-6331</t>
  </si>
  <si>
    <t xml:space="preserve">Olsen, Donna </t>
  </si>
  <si>
    <t>(800) 456-4677</t>
  </si>
  <si>
    <t xml:space="preserve">Peck, Brian </t>
  </si>
  <si>
    <t>(303) 572-5993</t>
  </si>
  <si>
    <t xml:space="preserve">Perrotti, Vince </t>
  </si>
  <si>
    <t>(316) 356-6998</t>
  </si>
  <si>
    <t xml:space="preserve">Petkovitch, Ila </t>
  </si>
  <si>
    <t>(619) 794-4301</t>
  </si>
  <si>
    <t xml:space="preserve">Poolet, Tom </t>
  </si>
  <si>
    <t>(505) 326-9449</t>
  </si>
  <si>
    <t xml:space="preserve">Powell, Jon </t>
  </si>
  <si>
    <t>(619) 794-4303</t>
  </si>
  <si>
    <t xml:space="preserve">Puri, Marie </t>
  </si>
  <si>
    <t>(303) 986-9899</t>
  </si>
  <si>
    <t xml:space="preserve">Purvis, John </t>
  </si>
  <si>
    <t>(619) 632-9190</t>
  </si>
  <si>
    <t xml:space="preserve">Rezendes, Nancy </t>
  </si>
  <si>
    <t>(800) 456-4679</t>
  </si>
  <si>
    <t xml:space="preserve">Riley, Janice </t>
  </si>
  <si>
    <t>(415) 544-6000</t>
  </si>
  <si>
    <t xml:space="preserve">Schiel, John </t>
  </si>
  <si>
    <t>(303) 460-3742</t>
  </si>
  <si>
    <t xml:space="preserve">Shilling, Kim </t>
  </si>
  <si>
    <t>(708) 398-6736</t>
  </si>
  <si>
    <t xml:space="preserve">Shortt, Karol </t>
  </si>
  <si>
    <t>(312) 856-5111</t>
  </si>
  <si>
    <t xml:space="preserve">Shyer, Candice </t>
  </si>
  <si>
    <t>(619) 794-4300</t>
  </si>
  <si>
    <t xml:space="preserve">Snyder, Ron </t>
  </si>
  <si>
    <t>(619) 794-4304</t>
  </si>
  <si>
    <t xml:space="preserve">Stone, Karen </t>
  </si>
  <si>
    <t>(513) 897-5253</t>
  </si>
  <si>
    <t xml:space="preserve">Suppes, Beau </t>
  </si>
  <si>
    <t>(303) 247-6805</t>
  </si>
  <si>
    <t xml:space="preserve">Trainer, Pam </t>
  </si>
  <si>
    <t>(619) 794-4297</t>
  </si>
  <si>
    <t xml:space="preserve">Turner, Jerry </t>
  </si>
  <si>
    <t>(303) 792-3111</t>
  </si>
  <si>
    <t xml:space="preserve">Wagner, Melissa </t>
  </si>
  <si>
    <t>(303) 273-7112</t>
  </si>
  <si>
    <t xml:space="preserve">Wechel, Kathy </t>
  </si>
  <si>
    <t>(303) 651-7853</t>
  </si>
  <si>
    <t xml:space="preserve">Weingarten, Sharon </t>
  </si>
  <si>
    <t>(316) 356-6997</t>
  </si>
  <si>
    <t xml:space="preserve">Wells, Ann </t>
  </si>
  <si>
    <t>(303) 741-2284</t>
  </si>
  <si>
    <t xml:space="preserve">Wilson, Lana </t>
  </si>
  <si>
    <t>(303) 286-5883</t>
  </si>
  <si>
    <t xml:space="preserve">Wood, Jim </t>
  </si>
  <si>
    <t>(303) 798-5393</t>
  </si>
  <si>
    <t xml:space="preserve">Woods, Gwen </t>
  </si>
  <si>
    <t>(619) 794-4302</t>
  </si>
  <si>
    <t xml:space="preserve">Zyzniewski, Jon </t>
  </si>
  <si>
    <t>(212) 692-6400</t>
  </si>
  <si>
    <t>product Attribute</t>
  </si>
  <si>
    <t>France (FR)</t>
  </si>
  <si>
    <t>Germany (DE)</t>
  </si>
  <si>
    <t>England (UK)</t>
  </si>
  <si>
    <t>Color</t>
  </si>
  <si>
    <t>Red</t>
  </si>
  <si>
    <t>Green</t>
  </si>
  <si>
    <t>Yellow</t>
  </si>
  <si>
    <t>Shape</t>
  </si>
  <si>
    <t>Round</t>
  </si>
  <si>
    <t>Rectangle</t>
  </si>
  <si>
    <t>Diamond</t>
  </si>
  <si>
    <t>Units</t>
  </si>
  <si>
    <t>Atibute value</t>
  </si>
  <si>
    <t>(Thousands of Dollars)</t>
  </si>
  <si>
    <t>Total</t>
  </si>
  <si>
    <t>Average</t>
  </si>
  <si>
    <t>Sales</t>
  </si>
  <si>
    <t>Expenses</t>
  </si>
  <si>
    <t>Profits</t>
  </si>
  <si>
    <t>YTD Profits</t>
  </si>
  <si>
    <t>YTD Average</t>
  </si>
  <si>
    <t>% Sales Change</t>
  </si>
  <si>
    <t>% Expenses Change</t>
  </si>
  <si>
    <t>% Profits Change</t>
  </si>
  <si>
    <t>Sales:Expenses</t>
  </si>
  <si>
    <t>Sales:Profits</t>
  </si>
  <si>
    <t>Expenses:Profits</t>
  </si>
  <si>
    <t>Entry</t>
  </si>
  <si>
    <t>Parker, Carlyn L</t>
  </si>
  <si>
    <t>RE/MAX Alliance</t>
  </si>
  <si>
    <t>(313) 850-1916 , (866) 820-6457</t>
  </si>
  <si>
    <t>Prince, Larry J</t>
  </si>
  <si>
    <t>RE/MAX Properties, Inc</t>
  </si>
  <si>
    <t>(719) 576-5000</t>
  </si>
  <si>
    <t>Arnold, Darlene Joyce</t>
  </si>
  <si>
    <t>ERA Shields Real Estate</t>
  </si>
  <si>
    <t>(719) 593-1000 , (877) 888-8208</t>
  </si>
  <si>
    <t>Smith, Karen L</t>
  </si>
  <si>
    <t>Leeper &amp; Associates</t>
  </si>
  <si>
    <t>(313) 469-6723 , (877) 626-1419</t>
  </si>
  <si>
    <t>Cunningham, Carrie A</t>
  </si>
  <si>
    <t>RE/MAX Pueblo West Inc.</t>
  </si>
  <si>
    <t>(719) 547-1739 ext. 1739, (877) 699-1716</t>
  </si>
  <si>
    <t>Ward, Suzanne M</t>
  </si>
  <si>
    <t>Coldwell Banker</t>
  </si>
  <si>
    <t>(313) 320-5733 , (877) 856-8355</t>
  </si>
  <si>
    <t>Segreti, Margaret</t>
  </si>
  <si>
    <t>A.H. Leffler &amp; Assoc., LLC</t>
  </si>
  <si>
    <t>(970) 353-6088</t>
  </si>
  <si>
    <t>Barros, Christina de</t>
  </si>
  <si>
    <t>Agi Realty</t>
  </si>
  <si>
    <t>(970) 581-9667</t>
  </si>
  <si>
    <t>Ranes, Kim</t>
  </si>
  <si>
    <t>RE/MAX Horizons Group</t>
  </si>
  <si>
    <t>McBride, Nancy</t>
  </si>
  <si>
    <t>Anne Hunter &amp; Co. Metro Brokers</t>
  </si>
  <si>
    <t>(313) 987-0404 ext. 303</t>
  </si>
  <si>
    <t>French, Vicki</t>
  </si>
  <si>
    <t>Coldwell Banker Residential Brokerage</t>
  </si>
  <si>
    <t>(313) 302-4600</t>
  </si>
  <si>
    <t>Newton, Kay</t>
  </si>
  <si>
    <t>RE/MAX Alliance, DTC</t>
  </si>
  <si>
    <t>(313) 773-3885 ext. 1230</t>
  </si>
  <si>
    <t>Russel, Sheila</t>
  </si>
  <si>
    <t>Home Real Estate</t>
  </si>
  <si>
    <t>(313) 910-9778 , (866) 650-9040</t>
  </si>
  <si>
    <t>Willett, Patricia E</t>
  </si>
  <si>
    <t>RE/MAX Pueblo - Central LLC</t>
  </si>
  <si>
    <t>(719) 586-8701 , (877) 457-0760</t>
  </si>
  <si>
    <t>Smith, Dee</t>
  </si>
  <si>
    <t>(313) 340-0242</t>
  </si>
  <si>
    <t>Anderson, David S</t>
  </si>
  <si>
    <t>RE/MAX 100, Inc.</t>
  </si>
  <si>
    <t>(313) 232-4444 , (877) 537-0002</t>
  </si>
  <si>
    <t>MacDonald, Mary B</t>
  </si>
  <si>
    <t>American Dream Home Realty</t>
  </si>
  <si>
    <t>(313) 254-5925</t>
  </si>
  <si>
    <t>Haban, Eileen</t>
  </si>
  <si>
    <t>(313) 456-2113 , (877) 211-5716</t>
  </si>
  <si>
    <t>Beals, Ronnie V</t>
  </si>
  <si>
    <t>(313) 750-4500 ext. 1362, (877) 711-0636</t>
  </si>
  <si>
    <t>Richards, Kent</t>
  </si>
  <si>
    <t>New Century Realty, Inc.</t>
  </si>
  <si>
    <t>(313) 422-5200 , (877) 425-5400</t>
  </si>
  <si>
    <t>J, Ronald R</t>
  </si>
  <si>
    <t>RE/MAX First Associates</t>
  </si>
  <si>
    <t>(970) 206-8262 , (877) 571-0703</t>
  </si>
  <si>
    <t>Miller, Mimi A</t>
  </si>
  <si>
    <t>(313) 914-4113 , (877) 857-4663</t>
  </si>
  <si>
    <t>Thoeming, Jim</t>
  </si>
  <si>
    <t>Wedgwood &amp; Associates</t>
  </si>
  <si>
    <t>(313) 422-1826</t>
  </si>
  <si>
    <t>Kifer, Jan</t>
  </si>
  <si>
    <t>Mile Hi Realty Executives</t>
  </si>
  <si>
    <t>(313) 850-7715 , (877) 243-3368</t>
  </si>
  <si>
    <t>Tran, May</t>
  </si>
  <si>
    <t>RE/MAX Northwest</t>
  </si>
  <si>
    <t>(313) 255-4325 , (877) 419-3420</t>
  </si>
  <si>
    <t>Utschig, Julie A</t>
  </si>
  <si>
    <t>Schuttenberg, Shel</t>
  </si>
  <si>
    <t>The Kentwood Company at Cherry Creek, LLC</t>
  </si>
  <si>
    <t>(313) 336-0353</t>
  </si>
  <si>
    <t>Clark, Cornelious</t>
  </si>
  <si>
    <t>(313) 456-2141 , (877) 887-5184</t>
  </si>
  <si>
    <t>Repp, Jane</t>
  </si>
  <si>
    <t>Keller Williams Preferred Realty</t>
  </si>
  <si>
    <t>(313) 478-8037 , (888) 346-3522</t>
  </si>
  <si>
    <t>Mattys, Susannah</t>
  </si>
  <si>
    <t>Prudential Colorado Real Estate</t>
  </si>
  <si>
    <t>(313) 797-1901</t>
  </si>
  <si>
    <t>Zeller, Kelly</t>
  </si>
  <si>
    <t>(313) 987-4988 , (877) 401-0856</t>
  </si>
  <si>
    <t>Carithers, Kay</t>
  </si>
  <si>
    <t>Maierhofer &amp; Associates/Metro Brokers</t>
  </si>
  <si>
    <t>(313) 740-8100</t>
  </si>
  <si>
    <t>Henry, Melanie</t>
  </si>
  <si>
    <t>Metro Broker AmeriRealty</t>
  </si>
  <si>
    <t>(970) 351-0405 ext. `</t>
  </si>
  <si>
    <t>Hay, Sally</t>
  </si>
  <si>
    <t>RE/MAX Professionals, Inc.</t>
  </si>
  <si>
    <t>(313) 638-1497 , (877) 533-6837</t>
  </si>
  <si>
    <t>Mason, Beth</t>
  </si>
  <si>
    <t>(313) 457-4800 , (877) 433-0043</t>
  </si>
  <si>
    <t>Cucchi, Anne</t>
  </si>
  <si>
    <t>(313) 985-4555</t>
  </si>
  <si>
    <t>Murphy, Rose Marie</t>
  </si>
  <si>
    <t>(313) 252-7700</t>
  </si>
  <si>
    <t>Coburn, Sue</t>
  </si>
  <si>
    <t>RE/MAX Properties, Inc.</t>
  </si>
  <si>
    <t>(719) 637-7227 , (877) 243-8181</t>
  </si>
  <si>
    <t>Serafini, Robin J</t>
  </si>
  <si>
    <t>Sage Realty</t>
  </si>
  <si>
    <t>(719) 477-1180 , (877) 599-7242</t>
  </si>
  <si>
    <t>Clark, Laurie</t>
  </si>
  <si>
    <t>(313) 449-5000</t>
  </si>
  <si>
    <t>Campbell, Jancy</t>
  </si>
  <si>
    <t>(313) 232-4444</t>
  </si>
  <si>
    <t>Lynch, Peggy</t>
  </si>
  <si>
    <t>Coldwell Banker Residential</t>
  </si>
  <si>
    <t>(313) 772-7478 ext. 5957, (866) 699-0876 ext. 5957</t>
  </si>
  <si>
    <t>Doud, Pat</t>
  </si>
  <si>
    <t>Keller Williams Realty Professionals</t>
  </si>
  <si>
    <t>(313) 579-8692</t>
  </si>
  <si>
    <t>Hickerson, Judy</t>
  </si>
  <si>
    <t>RE/MAX Pueblo West, Inc.</t>
  </si>
  <si>
    <t>(719) 547-1756 , (866) 546-3250</t>
  </si>
  <si>
    <t>Brownlee, Lloyd J</t>
  </si>
  <si>
    <t>RE/MAX of Longmont Inc.</t>
  </si>
  <si>
    <t>(313) 772-3811 ext. 146, (877) 228-0995</t>
  </si>
  <si>
    <t>Kos, Christine A</t>
  </si>
  <si>
    <t>Mock Realty</t>
  </si>
  <si>
    <t>(313) 497-0625 , (877) 447-4250</t>
  </si>
  <si>
    <t>Broderick, Deborah L</t>
  </si>
  <si>
    <t>RE/MAX Horizons Group @ Interlocken</t>
  </si>
  <si>
    <t>(313) 456-8361 ext. 6505, (888) 851-6250</t>
  </si>
  <si>
    <t>Barnard, Elaine J</t>
  </si>
  <si>
    <t>Rusinak Real Estate</t>
  </si>
  <si>
    <t>(719) 590-6108 , (877) 727-7820</t>
  </si>
  <si>
    <t>Blake, Miriam N</t>
  </si>
  <si>
    <t>RE/MAX of Longmont, Inc</t>
  </si>
  <si>
    <t>(313) 772-3800 ext. 123, (877) 228-0995</t>
  </si>
  <si>
    <t>Christensen, John H</t>
  </si>
  <si>
    <t>(313) 972-2555</t>
  </si>
  <si>
    <t>Ricciardi, Margene</t>
  </si>
  <si>
    <t>Classic Advantage Realty</t>
  </si>
  <si>
    <t>(313) 756-4161</t>
  </si>
  <si>
    <t>Browning, Jennifer D</t>
  </si>
  <si>
    <t>(313) 674-2418 , (877) 574-6667</t>
  </si>
  <si>
    <t>Hill, Roger</t>
  </si>
  <si>
    <t>United Property Brokers</t>
  </si>
  <si>
    <t>(313) 671-9311 , (877) 370-1497</t>
  </si>
  <si>
    <t>Bettin, Janene</t>
  </si>
  <si>
    <t>(313) 441-2436 , (877) 654-4788</t>
  </si>
  <si>
    <t>Jarrell, L Coleman</t>
  </si>
  <si>
    <t>The Bashor Connection Real Estate Consultants</t>
  </si>
  <si>
    <t>(313) 651-6334 , (866) 651-6334</t>
  </si>
  <si>
    <t>Schwartz, Kennard R</t>
  </si>
  <si>
    <t>Century 21 Dinkel &amp; Associates</t>
  </si>
  <si>
    <t>(719) 599-4445</t>
  </si>
  <si>
    <t>Maier, Amy</t>
  </si>
  <si>
    <t>RE/MAX Professionals</t>
  </si>
  <si>
    <t>(313) 423-5220</t>
  </si>
  <si>
    <t>Benson, Ariel</t>
  </si>
  <si>
    <t>Dixie Trimble Realty Company</t>
  </si>
  <si>
    <t>(313) 320-4266</t>
  </si>
  <si>
    <t>Carter, Sherrill</t>
  </si>
  <si>
    <t>Metro Brokers - Beals &amp; Company</t>
  </si>
  <si>
    <t>(313) 452-5853 ext. 352</t>
  </si>
  <si>
    <t>White, Judy E</t>
  </si>
  <si>
    <t>Keller Williams Realty</t>
  </si>
  <si>
    <t>(970) 278-4127</t>
  </si>
  <si>
    <t>Harris, John</t>
  </si>
  <si>
    <t>Realty Executives MetroNorth</t>
  </si>
  <si>
    <t>(313) 429-1234</t>
  </si>
  <si>
    <t>Trimble, Dixie Lee</t>
  </si>
  <si>
    <t>RE/MAX Masters Inc.</t>
  </si>
  <si>
    <t>(313) 771-9400 ext. 5207, (877) 766-1669</t>
  </si>
  <si>
    <t>Wilson, Joyce A</t>
  </si>
  <si>
    <t>The Kentwood Company</t>
  </si>
  <si>
    <t>(313) 773-3399 , (877) 723-7653</t>
  </si>
  <si>
    <t>Danzl, James J</t>
  </si>
  <si>
    <t>Metro Brokers - Priority Properties, Inc</t>
  </si>
  <si>
    <t>(313) 799-8100 ext. 222, (877) 799-8100</t>
  </si>
  <si>
    <t>Cramer, Steve</t>
  </si>
  <si>
    <t>Marx Real Estate Corp.</t>
  </si>
  <si>
    <t>(313) 761-4006</t>
  </si>
  <si>
    <t>Whatley, Walt F</t>
  </si>
  <si>
    <t>A Better Way Realty, LLC</t>
  </si>
  <si>
    <t>(313) 759-2222 , (877) 559-1884</t>
  </si>
  <si>
    <t>Smith, Jim</t>
  </si>
  <si>
    <t>(313) 409-6319 , (877) 856-9004</t>
  </si>
  <si>
    <t>DiVito, Joe</t>
  </si>
  <si>
    <t>Brokers West Real Estate &amp; Development</t>
  </si>
  <si>
    <t>(313) 956-7940</t>
  </si>
  <si>
    <t>Belhumeur, Gary</t>
  </si>
  <si>
    <t>Pager</t>
  </si>
  <si>
    <t>Leffler, Ann Harding</t>
  </si>
  <si>
    <t>Leeper, Mike</t>
  </si>
  <si>
    <t>(313) 452-3300</t>
  </si>
  <si>
    <t>Mikoda, Nancy</t>
  </si>
  <si>
    <t>RE/MAX Masters, Inc.</t>
  </si>
  <si>
    <t>(313) 483-2325</t>
  </si>
  <si>
    <t>Stow, Diane</t>
  </si>
  <si>
    <t>(313) 693-6666</t>
  </si>
  <si>
    <t>Hunter, Anne</t>
  </si>
  <si>
    <t>Coldwell Banker Commerical NRT</t>
  </si>
  <si>
    <t>(313) 413-2388 , (877) 654-4788</t>
  </si>
  <si>
    <t>Thatcher, Shirley</t>
  </si>
  <si>
    <t>(313) 796-1298 , (866) 820-6457 ext. 1298</t>
  </si>
  <si>
    <t>Salek, Debora</t>
  </si>
  <si>
    <t>ReAction Realty</t>
  </si>
  <si>
    <t>(313) 667-3055</t>
  </si>
  <si>
    <t>Monet, Judy</t>
  </si>
  <si>
    <t>(313) 327-6500 ext. 6566, (888) 851-6250 ext. 6566</t>
  </si>
  <si>
    <t>Walton, Ron</t>
  </si>
  <si>
    <t>RE/MAX Alliance Evergreen</t>
  </si>
  <si>
    <t>(313) 670-6399 , (877) 568-6120</t>
  </si>
  <si>
    <t>Pierce, Patrice D</t>
  </si>
  <si>
    <t>Real Estate by Repp, Inc.</t>
  </si>
  <si>
    <t>(313) 301-7124</t>
  </si>
  <si>
    <t>Myers, Billie</t>
  </si>
  <si>
    <t>Keller Williams Realty DTC</t>
  </si>
  <si>
    <t>(313) 785-1384</t>
  </si>
  <si>
    <t>Fast, Mary Marjorie</t>
  </si>
  <si>
    <t>(313) 449-5000 ext. 380, (877) 654-4788 ext. 380</t>
  </si>
  <si>
    <t>Lovell, Trudy</t>
  </si>
  <si>
    <t>RE/MAX southeast, Inc.</t>
  </si>
  <si>
    <t>(313) 759-5400</t>
  </si>
  <si>
    <t>McDonald, Brian R</t>
  </si>
  <si>
    <t>ERA Werner Realty, Inc.</t>
  </si>
  <si>
    <t>(719) 250-9880</t>
  </si>
  <si>
    <t>Linsenbigler, Nancy</t>
  </si>
  <si>
    <t>Realty Executives Metro North</t>
  </si>
  <si>
    <t>(313) 429-1234 , (877) 843-4663</t>
  </si>
  <si>
    <t>Phelps, Jane L</t>
  </si>
  <si>
    <t>(313) 232-4444 ext. 264, (877) 537-0002</t>
  </si>
  <si>
    <t>Christner, Allen B</t>
  </si>
  <si>
    <t>RE/MAX Alliance Central</t>
  </si>
  <si>
    <t>(313) 759-6647 , (877) 747-7362</t>
  </si>
  <si>
    <t>Novak, Kathryn M</t>
  </si>
  <si>
    <t>Unknown</t>
  </si>
  <si>
    <t>(313) 420-2121</t>
  </si>
  <si>
    <t>Gipson, Beverly S</t>
  </si>
  <si>
    <t>Donahue, Agi J</t>
  </si>
  <si>
    <t>Realty Executives Twin Peaks</t>
  </si>
  <si>
    <t>(313) 776-2500 , (877) 776-0013</t>
  </si>
  <si>
    <t>Trout, Judy</t>
  </si>
  <si>
    <t>(313) 651-6959 , (877) 776-0013</t>
  </si>
  <si>
    <t>Trujillo, Karen L</t>
  </si>
  <si>
    <t>RE/MAX Affiliates</t>
  </si>
  <si>
    <t>(313) 759-6676 , (877) 747-7362</t>
  </si>
  <si>
    <t>Frech, Peter C</t>
  </si>
  <si>
    <t>(313) 670-6358 ext. 40, (877) 568-6120</t>
  </si>
  <si>
    <t>Yost, Ron</t>
  </si>
  <si>
    <t>RE/MAX Horizons Group, Inc.</t>
  </si>
  <si>
    <t>(313) 460-6721 ext. 6721, (877) 626-1419</t>
  </si>
  <si>
    <t>Childers, Jeanene Y</t>
  </si>
  <si>
    <t>RE/MAX All Stars</t>
  </si>
  <si>
    <t>(719) 599-7575 , (888) 887-5343</t>
  </si>
  <si>
    <t>Downie, Alice B</t>
  </si>
  <si>
    <t>(719) 540-6406 , (877) 325-0466</t>
  </si>
  <si>
    <t>Jennings, Sylvia</t>
  </si>
  <si>
    <t>Premier Marketing Services</t>
  </si>
  <si>
    <t>(313) 799-8100 ext. 146, (866) 799-8100 ext. 146</t>
  </si>
  <si>
    <t>Richardson, Trudy</t>
  </si>
  <si>
    <t>(313) 796-1222 , (888) 694-4834</t>
  </si>
  <si>
    <t>Hamilton, Darrell G</t>
  </si>
  <si>
    <t>(719) 590-6102 , (877) 727-7820</t>
  </si>
  <si>
    <t>Taylor, Darris L</t>
  </si>
  <si>
    <t>(313) 202-3076</t>
  </si>
  <si>
    <t>Wesley, Bettie</t>
  </si>
  <si>
    <t>Realty Link, Inc.</t>
  </si>
  <si>
    <t>(313) 301-7132</t>
  </si>
  <si>
    <t>Hamlin, Karen</t>
  </si>
  <si>
    <t>RE/MAX of Cherry Creek, Inc</t>
  </si>
  <si>
    <t>(313) 331-4529 , (877) 765-7110</t>
  </si>
  <si>
    <t>Mallard, Raymond</t>
  </si>
  <si>
    <t>(313) 409-6134 , (877) 574-8800</t>
  </si>
  <si>
    <t>Munro, Mark C</t>
  </si>
  <si>
    <t>RE/MAX Northwest, Inc.</t>
  </si>
  <si>
    <t>Hale, Carma J</t>
  </si>
  <si>
    <t>RE/MAX Masters, Inc</t>
  </si>
  <si>
    <t>(313) 660-8600 , (866) 204-0998</t>
  </si>
  <si>
    <t>Prickett, Terri</t>
  </si>
  <si>
    <t>(313) 277-0431</t>
  </si>
  <si>
    <t>Hazelwood, Kevin</t>
  </si>
  <si>
    <t>Keller Williams Front Range Properties LLC</t>
  </si>
  <si>
    <t>(313) 440-8080</t>
  </si>
  <si>
    <t>Bashor, Barb</t>
  </si>
  <si>
    <t>(313) 796-1238</t>
  </si>
  <si>
    <t>Billmayer, Serena</t>
  </si>
  <si>
    <t>RE/MAX Alliance Boulder</t>
  </si>
  <si>
    <t>(313) 543-3087 , (877) 373-1282 ext. 1193</t>
  </si>
  <si>
    <t>Kempe, Cindy</t>
  </si>
  <si>
    <t>Bahl Marketing Group MB</t>
  </si>
  <si>
    <t>(733) 344-6644</t>
  </si>
  <si>
    <t>Bassett, Harold G</t>
  </si>
  <si>
    <t>Prudential LTM Realtors</t>
  </si>
  <si>
    <t>(313) 772-2222 ext. 256</t>
  </si>
  <si>
    <t>Frazee, Robert S</t>
  </si>
  <si>
    <t>(719) 547-1730 , (877) 699-1716</t>
  </si>
  <si>
    <t>Weitz, Gerald A</t>
  </si>
  <si>
    <t>RE/MAX Mountain Brokers</t>
  </si>
  <si>
    <t>(970) 586-1000 , (866) 311-1880</t>
  </si>
  <si>
    <t>Jarrett, Lori</t>
  </si>
  <si>
    <t>RE/MAX Alliance Park Meadows</t>
  </si>
  <si>
    <t>(313) 850-1844 ext. 269, (866) 820-6457</t>
  </si>
  <si>
    <t>Fischer, Bev</t>
  </si>
  <si>
    <t>(313) 766-2500 , (877) 776-0013</t>
  </si>
  <si>
    <t>Brennan, Linda</t>
  </si>
  <si>
    <t>Terry Golden Realtors</t>
  </si>
  <si>
    <t>(719) 520-9812</t>
  </si>
  <si>
    <t>Ryerson, Robert W</t>
  </si>
  <si>
    <t>(313) 449-5000 , (877) 654-4788</t>
  </si>
  <si>
    <t>Bates, Chris</t>
  </si>
  <si>
    <t>ERA Tradewind Real Estate</t>
  </si>
  <si>
    <t>(313) 772-9620 ext. 7709, (877) 257-6581 ext. 7709</t>
  </si>
  <si>
    <t>Reinpold, Linda K</t>
  </si>
  <si>
    <t>(719) 576-5000 ext. 1716, (877) 325-0466</t>
  </si>
  <si>
    <t>Cuney, Jac</t>
  </si>
  <si>
    <t>(313) 336-0362 , (877) 279-1535 ext. 1362</t>
  </si>
  <si>
    <t>Salem, Joanne H</t>
  </si>
  <si>
    <t>(313) 773-3885 , (877) 766-1669 ext. 0300</t>
  </si>
  <si>
    <t>Swanson, Jerry L</t>
  </si>
  <si>
    <t>Preferred Properties, Inc.</t>
  </si>
  <si>
    <t>(313) 778-8222 ext. 105, (877) 978-8222 ext. 105</t>
  </si>
  <si>
    <t>Miller, Gary</t>
  </si>
  <si>
    <t>Century 21 - Golden West Realty</t>
  </si>
  <si>
    <t>(313) 877-8487 , (877) 279-7688</t>
  </si>
  <si>
    <t>Soesbe, Linda</t>
  </si>
  <si>
    <t>(970) 586-0421 , (877) 827-8780</t>
  </si>
  <si>
    <t>McKee, Rick</t>
  </si>
  <si>
    <t>(313) 306-0342 , (866) 759-2084</t>
  </si>
  <si>
    <t>Briggs, Vicky S</t>
  </si>
  <si>
    <t>Century 21 Dinkel &amp; Associates, Inc.</t>
  </si>
  <si>
    <t>, (877) 525-7680</t>
  </si>
  <si>
    <t>Sterner, Susan</t>
  </si>
  <si>
    <t>(719) 535-0355 , (877) 535-0359</t>
  </si>
  <si>
    <t>Kraatz, Nancy A</t>
  </si>
  <si>
    <t>Realty Executives - Choice City Real Estate</t>
  </si>
  <si>
    <t>(970) 472-8888 , (877) 472-8580</t>
  </si>
  <si>
    <t>Dixon, Diane</t>
  </si>
  <si>
    <t>The Group Inc.</t>
  </si>
  <si>
    <t>(970) 613-0700 ext. 1572</t>
  </si>
  <si>
    <t>Upton, Linda M</t>
  </si>
  <si>
    <t>(313) 530-4970 , (877) 373-1282 ext. 1136</t>
  </si>
  <si>
    <t>Lyke, Judy</t>
  </si>
  <si>
    <t>(313) 771-9400</t>
  </si>
  <si>
    <t>Engebretson, Lois</t>
  </si>
  <si>
    <t>(313) 930-5278 ext. 2916, (877) 766-1669</t>
  </si>
  <si>
    <t>Roadarmel, Ann</t>
  </si>
  <si>
    <t>(313) 301-7250</t>
  </si>
  <si>
    <t>Nussbaum, James P</t>
  </si>
  <si>
    <t>Cherry Creek South LTD</t>
  </si>
  <si>
    <t>Cutrell, Karen</t>
  </si>
  <si>
    <t>Keller Williams Clients Choice Realty</t>
  </si>
  <si>
    <t>(719) 535-0355 , (877) 535-0355</t>
  </si>
  <si>
    <t>Crook, Dick</t>
  </si>
  <si>
    <t>(313) 858-8100</t>
  </si>
  <si>
    <t>Schwartz, Claudine</t>
  </si>
  <si>
    <t>(313) 642-7777</t>
  </si>
  <si>
    <t>Snyder, Betty</t>
  </si>
  <si>
    <t>(313) 543-3088 , (877) 373-1282</t>
  </si>
  <si>
    <t>Hamilton, Jeannie</t>
  </si>
  <si>
    <t>(313) 327-6500 ext. 6571</t>
  </si>
  <si>
    <t>Gilroy, Linda</t>
  </si>
  <si>
    <t>Hall Properties, Inc</t>
  </si>
  <si>
    <t>(719) 339-3990</t>
  </si>
  <si>
    <t>Hoffman, Renee L</t>
  </si>
  <si>
    <t>(313) 467-8264</t>
  </si>
  <si>
    <t>Kuchars, Daniel</t>
  </si>
  <si>
    <t>RE/MAX Professionals Inc.</t>
  </si>
  <si>
    <t>(313) 716-3671</t>
  </si>
  <si>
    <t>Becker, Craig T</t>
  </si>
  <si>
    <t>Home Source Realty, Inc.</t>
  </si>
  <si>
    <t>(313) 429-1887 , (866) 295-4977</t>
  </si>
  <si>
    <t>Alpers, Richard</t>
  </si>
  <si>
    <t>Rusinak Real Estate, Inc.</t>
  </si>
  <si>
    <t>(719) 590-6101 , (877) 571-0378</t>
  </si>
  <si>
    <t>Hesse, Mike</t>
  </si>
  <si>
    <t>(313) 914-4129 , (877) 780-3364</t>
  </si>
  <si>
    <t>Fenney, Cynthia</t>
  </si>
  <si>
    <t>(313) 791-2882 , (877) 533-6837</t>
  </si>
  <si>
    <t>Shoup, Tom</t>
  </si>
  <si>
    <t>Storz Real Estate</t>
  </si>
  <si>
    <t>(970) 686-0136 , (888) 576-9595</t>
  </si>
  <si>
    <t>Ackerman, Vance</t>
  </si>
  <si>
    <t>(719) 547-1717 ext. 724, (877) 699-1716</t>
  </si>
  <si>
    <t>Golden, Terence M</t>
  </si>
  <si>
    <t>RE/MAX 100</t>
  </si>
  <si>
    <t>Storz, June</t>
  </si>
  <si>
    <t>RE/MAX Unlimited, Inc</t>
  </si>
  <si>
    <t>(313) 671-3035 , (888) 237-4208</t>
  </si>
  <si>
    <t>Mares, Ted R</t>
  </si>
  <si>
    <t>Prudential Professional REALTORS</t>
  </si>
  <si>
    <t>(719) 785-1243 , (877) 208-6492</t>
  </si>
  <si>
    <t>Leeper, Cindy</t>
  </si>
  <si>
    <t>(313) 469-7848</t>
  </si>
  <si>
    <t>Tugaoen, Mimi</t>
  </si>
  <si>
    <t>(313) 680-3027 ext. 1904</t>
  </si>
  <si>
    <t>Schimmel, Anita C</t>
  </si>
  <si>
    <t>Coldwell Banker Residential NRT</t>
  </si>
  <si>
    <t>(719) 550-2400 , (866) 477-3843</t>
  </si>
  <si>
    <t>Zimmerman, Jennifer</t>
  </si>
  <si>
    <t>United Property Brokers, Inc.</t>
  </si>
  <si>
    <t>(313) 956-5955 , (877) 584-0870</t>
  </si>
  <si>
    <t>Owens, Beth Baker</t>
  </si>
  <si>
    <t>(313) 680-3044 , (877) 365-2479</t>
  </si>
  <si>
    <t>Dvorak, Vern</t>
  </si>
  <si>
    <t>(313) 771-3311</t>
  </si>
  <si>
    <t>Hall, Lennes H</t>
  </si>
  <si>
    <t>Sterling Real Estate Group</t>
  </si>
  <si>
    <t>(313) 274-7724 ext. 1505</t>
  </si>
  <si>
    <t>Bruder, Patti</t>
  </si>
  <si>
    <t>(733) 922-2003 , (877) 866-7719</t>
  </si>
  <si>
    <t>Mathis, Dawn</t>
  </si>
  <si>
    <t>(970) 223-2300 , (877) 276-2365</t>
  </si>
  <si>
    <t>Maxwell, Vanecea K</t>
  </si>
  <si>
    <t>RE/MAX Pueblo West</t>
  </si>
  <si>
    <t>(719) 547-1708 , (877) 699-1716</t>
  </si>
  <si>
    <t>Briggs, Tupper S</t>
  </si>
  <si>
    <t>(719) 535-0355 , (887) 535-0355</t>
  </si>
  <si>
    <t>Masciotro, Nick</t>
  </si>
  <si>
    <t>(313) 402-2643 , (877) 443-6050</t>
  </si>
  <si>
    <t>Padalecki, Bobbye</t>
  </si>
  <si>
    <t>(313) 545-1981 , (877) 443-6050</t>
  </si>
  <si>
    <t>Pratt, Sue</t>
  </si>
  <si>
    <t>(313) 888-2244</t>
  </si>
  <si>
    <t>Tuohy, Liz Grazi</t>
  </si>
  <si>
    <t>Realty Executives</t>
  </si>
  <si>
    <t>Maierhofer, Andy</t>
  </si>
  <si>
    <t>Stix &amp; Stones Fine Colorado Properties</t>
  </si>
  <si>
    <t>(313) 770-2409</t>
  </si>
  <si>
    <t>Kelce, Martha</t>
  </si>
  <si>
    <t>Crockett Mountain Realty</t>
  </si>
  <si>
    <t>(970) 586-2850</t>
  </si>
  <si>
    <t>Tracy, Charlene Marie</t>
  </si>
  <si>
    <t>Prestige Real Estate Group</t>
  </si>
  <si>
    <t>(313) 450-0860 , (888) 887-7617</t>
  </si>
  <si>
    <t>Head, Betty</t>
  </si>
  <si>
    <t>(719) 495-8007 , (888) 773-6031</t>
  </si>
  <si>
    <t>Reed, Peggy B</t>
  </si>
  <si>
    <t>Corken, Kay</t>
  </si>
  <si>
    <t>(313) 755-4313 , (877) 711-0636</t>
  </si>
  <si>
    <t>Peltier, Diane</t>
  </si>
  <si>
    <t>(719) 290-1000 , (866) 477-3843</t>
  </si>
  <si>
    <t>Manley, Linda</t>
  </si>
  <si>
    <t>Keller Williams Preferred</t>
  </si>
  <si>
    <t>(313) 452-3300 ext. 549</t>
  </si>
  <si>
    <t>Bell, Bob</t>
  </si>
  <si>
    <t>Century 21 Properties, Inc.</t>
  </si>
  <si>
    <t>(719) 248-6632 , (888) 672-2727</t>
  </si>
  <si>
    <t>Stephens-Douglass, Ana</t>
  </si>
  <si>
    <t>(719) 264-5451 , (888) 566-7199</t>
  </si>
  <si>
    <t>Urben, A Don</t>
  </si>
  <si>
    <t>(313) 255-4368 , (877) 433-0043</t>
  </si>
  <si>
    <t>Tobin, Laurie</t>
  </si>
  <si>
    <t>Century 21 Target Realty</t>
  </si>
  <si>
    <t>(313) 989-2121 , (877) 327-0349</t>
  </si>
  <si>
    <t>King, Susan E</t>
  </si>
  <si>
    <t>Realty Executives of Aurora</t>
  </si>
  <si>
    <t>(313) 690-2322</t>
  </si>
  <si>
    <t>Surkes, David</t>
  </si>
  <si>
    <t>(719) 590-6122 , (877) 727-7820</t>
  </si>
  <si>
    <t>Casey, Mary L</t>
  </si>
  <si>
    <t>RE/MAX of Longmont</t>
  </si>
  <si>
    <t>(313) 772-3800 ext. 155, (877) 228-0995 ext. 155</t>
  </si>
  <si>
    <t>Wood, Jerry D</t>
  </si>
  <si>
    <t>McGinnis GMAC</t>
  </si>
  <si>
    <t>(719) 527-4300</t>
  </si>
  <si>
    <t>Pliley, Dianne</t>
  </si>
  <si>
    <t>ERA Tradewing Real Estate</t>
  </si>
  <si>
    <t>(313) 402-2654 , (877) 443-9212</t>
  </si>
  <si>
    <t>Greenwood, Jackie</t>
  </si>
  <si>
    <t>(313) 987-4991 , (877) 433-5511</t>
  </si>
  <si>
    <t>Schmidt, Diane</t>
  </si>
  <si>
    <t>RE/MAX Advantage Realty</t>
  </si>
  <si>
    <t>(719) 548-8600 , (877) 870-4804</t>
  </si>
  <si>
    <t>Krauss, Arlene</t>
  </si>
  <si>
    <t>(313) 420-5352</t>
  </si>
  <si>
    <t>Wedgwood, Lee</t>
  </si>
  <si>
    <t>Gold Star Realty, Inc.</t>
  </si>
  <si>
    <t>(970) 625-1616 , (888) 264-6128</t>
  </si>
  <si>
    <t>Harris, Vanessa C</t>
  </si>
  <si>
    <t>(313) 429-1234 ext. 204, (877) 842-4663</t>
  </si>
  <si>
    <t>Kane, Jean</t>
  </si>
  <si>
    <t>Carrie &amp; Co.</t>
  </si>
  <si>
    <t>(313) 988-7771</t>
  </si>
  <si>
    <t>Batteiger, Linda K</t>
  </si>
  <si>
    <t>Melichar, Nancy A</t>
  </si>
  <si>
    <t>Heritage Realtors</t>
  </si>
  <si>
    <t>(719) 598-1078 , (877) 873-3303</t>
  </si>
  <si>
    <t>Finley, Terry E</t>
  </si>
  <si>
    <t>Nokes, Margaret</t>
  </si>
  <si>
    <t>(313) 525-1851 , (877) 666-3393</t>
  </si>
  <si>
    <t>Fry, Roselyn</t>
  </si>
  <si>
    <t>(970) 378-2615 , (866) 671-8907</t>
  </si>
  <si>
    <t>Skelton, Holly C</t>
  </si>
  <si>
    <t>(313) 202-2282 ext. 282, (877) 571-0385</t>
  </si>
  <si>
    <t>Donahue, William A</t>
  </si>
  <si>
    <t>Metro Brokers: Sunny Homes &amp; Associates Inc.</t>
  </si>
  <si>
    <t>(313) 588-9994</t>
  </si>
  <si>
    <t>Olson, Pam</t>
  </si>
  <si>
    <t>(313) 545-1971 , (877) 443-6050</t>
  </si>
  <si>
    <t>Myron, Margaret</t>
  </si>
  <si>
    <t>(970) 679-1578</t>
  </si>
  <si>
    <t>Hug, Donald O</t>
  </si>
  <si>
    <t>Thatcher Properties</t>
  </si>
  <si>
    <t>(313) 828-5331</t>
  </si>
  <si>
    <t>Brush-Garcia, Debbie</t>
  </si>
  <si>
    <t>(313) 948-8151</t>
  </si>
  <si>
    <t>Brownlee, Gerri</t>
  </si>
  <si>
    <t>(313) 456-2132 , (877) 541-6376</t>
  </si>
  <si>
    <t>Whisler, Duane</t>
  </si>
  <si>
    <t>Sears Real Estate</t>
  </si>
  <si>
    <t>(970) 330-7700 ext. 221, (877) 253-2231 ext. 221</t>
  </si>
  <si>
    <t>Stone, Valene K</t>
  </si>
  <si>
    <t>(313) 888-3384</t>
  </si>
  <si>
    <t>Nabors, Dot</t>
  </si>
  <si>
    <t>Keller Williams Executives Realty</t>
  </si>
  <si>
    <t>(313) 522-0184 , (877) 369-0358</t>
  </si>
  <si>
    <t>Geis, Theresa L</t>
  </si>
  <si>
    <t>Acsent Property Group</t>
  </si>
  <si>
    <t>(313) 301-7114</t>
  </si>
  <si>
    <t>Beltran, William</t>
  </si>
  <si>
    <t>Schmidt, Ricky</t>
  </si>
  <si>
    <t>Vigil, Andrea</t>
  </si>
  <si>
    <t>Finger, David</t>
  </si>
  <si>
    <t>Karaoulis, Rick</t>
  </si>
  <si>
    <t>DeCrowe, Debra</t>
  </si>
  <si>
    <t>Schutt, Nathaniel</t>
  </si>
  <si>
    <t>Bertch, Erik</t>
  </si>
  <si>
    <t>Shortreed, Herb</t>
  </si>
  <si>
    <t>Kolb, Richard</t>
  </si>
  <si>
    <t>Lombardi, Jill</t>
  </si>
  <si>
    <t>Cabeen, Letitia</t>
  </si>
  <si>
    <t>Gardner, Kimberly</t>
  </si>
  <si>
    <t>Waslo, John</t>
  </si>
  <si>
    <t>Jones, Matthew</t>
  </si>
  <si>
    <t>Shively, Svetlana</t>
  </si>
  <si>
    <t>Smith, Anthony</t>
  </si>
  <si>
    <t>Whitesell, Dawn</t>
  </si>
  <si>
    <t>Ryland, Allan</t>
  </si>
  <si>
    <t>Peneton, Daniel</t>
  </si>
  <si>
    <t>Mitchell, Cynthia</t>
  </si>
  <si>
    <t>Rhodes, Timothy</t>
  </si>
  <si>
    <t>Busby, Diane</t>
  </si>
  <si>
    <t>Bilodeau, Mike</t>
  </si>
  <si>
    <t>Martin, Guy</t>
  </si>
  <si>
    <t>Leslie, Leonard</t>
  </si>
  <si>
    <t>Keller, Richard</t>
  </si>
  <si>
    <t>Krivjansky, Chris</t>
  </si>
  <si>
    <t>Granato, Richelle</t>
  </si>
  <si>
    <t>Zias, Greg</t>
  </si>
  <si>
    <t>Gida, Cole</t>
  </si>
  <si>
    <t>Quirk, Janine</t>
  </si>
  <si>
    <t>Markey, Juli</t>
  </si>
  <si>
    <t>Derlein, Marcia</t>
  </si>
  <si>
    <t>Prince, Kevin</t>
  </si>
  <si>
    <t>Mers, Garret</t>
  </si>
  <si>
    <t>Gildenmeister, Anne</t>
  </si>
  <si>
    <t>Cook, Jeanne</t>
  </si>
  <si>
    <t>McEnery, Brian</t>
  </si>
  <si>
    <t>Siegmund, Jeffrey</t>
  </si>
  <si>
    <t>Kroskey, Richard</t>
  </si>
  <si>
    <t>Hunt, Edward</t>
  </si>
  <si>
    <t>Rowe, David</t>
  </si>
  <si>
    <t>Hutton, Roque</t>
  </si>
  <si>
    <t>Razo, Lisa</t>
  </si>
  <si>
    <t>Cobb, Christopher</t>
  </si>
  <si>
    <t>McClung, Pete</t>
  </si>
  <si>
    <t>Bricker, Diane</t>
  </si>
  <si>
    <t>Legg, Christopher</t>
  </si>
  <si>
    <t>Brin, Alfred</t>
  </si>
  <si>
    <t>Larsen, Shira</t>
  </si>
  <si>
    <t>Tupman, Lateef</t>
  </si>
  <si>
    <t>Ross-Kramer, Koleen</t>
  </si>
  <si>
    <t>Gara, Anthony</t>
  </si>
  <si>
    <t>Campbell, Bennet</t>
  </si>
  <si>
    <t>Huss, Keith</t>
  </si>
  <si>
    <t>Sparhawk, Carey</t>
  </si>
  <si>
    <t>Wilson, Keith</t>
  </si>
  <si>
    <t>Briggs, Mary</t>
  </si>
  <si>
    <t>Collier, Traci</t>
  </si>
  <si>
    <t>Dunehew, Richard</t>
  </si>
  <si>
    <t>Covington, Brian D</t>
  </si>
  <si>
    <t>Helden, Todd</t>
  </si>
  <si>
    <t>Harding, Kevin</t>
  </si>
  <si>
    <t>Vaughn, David</t>
  </si>
  <si>
    <t>Manzanares, Vicky</t>
  </si>
  <si>
    <t>Kallivrousis, John</t>
  </si>
  <si>
    <t>Grinker, Steven</t>
  </si>
  <si>
    <t>Angers, James</t>
  </si>
  <si>
    <t>Konshak, William</t>
  </si>
  <si>
    <t>Thorpe, Dale</t>
  </si>
  <si>
    <t>Little-Keene, George</t>
  </si>
  <si>
    <t>Roeder, Donald</t>
  </si>
  <si>
    <t>Hiner, Tony</t>
  </si>
  <si>
    <t>Brown, Marc</t>
  </si>
  <si>
    <t>Doud, John</t>
  </si>
  <si>
    <t>Frazier, Jack</t>
  </si>
  <si>
    <t>Valentine, Jeremy</t>
  </si>
  <si>
    <t>Meyer, Nathan</t>
  </si>
  <si>
    <t>Bartels, Gayla</t>
  </si>
  <si>
    <t>Irby, Roger</t>
  </si>
  <si>
    <t>Pratchett, Laura</t>
  </si>
  <si>
    <t>Kreider, Scott</t>
  </si>
  <si>
    <t>McHone, Gary</t>
  </si>
  <si>
    <t>Wright, Jerry</t>
  </si>
  <si>
    <t>Emery, Richard</t>
  </si>
  <si>
    <t>Reno, John</t>
  </si>
  <si>
    <t>Daly, Scott</t>
  </si>
  <si>
    <t>Mandel, Stephanie</t>
  </si>
  <si>
    <t>Brennan, Glenn</t>
  </si>
  <si>
    <t>Waugh, David</t>
  </si>
  <si>
    <t>Nguyen, Ruben</t>
  </si>
  <si>
    <t>Dittemore, Gregory</t>
  </si>
  <si>
    <t>Romero, Lisa</t>
  </si>
  <si>
    <t>Muenks, Jingwen</t>
  </si>
  <si>
    <t>Lathrop, Robert</t>
  </si>
  <si>
    <t>Wollert, Janet</t>
  </si>
  <si>
    <t>Culver, Brian</t>
  </si>
  <si>
    <t>Dodson, Michael</t>
  </si>
  <si>
    <t>Chapman, Elizabeth</t>
  </si>
  <si>
    <t>Mathias, Steven</t>
  </si>
  <si>
    <t>Gamber, Kent</t>
  </si>
  <si>
    <t>Ornellas, Brad</t>
  </si>
  <si>
    <t>Drake, Aron</t>
  </si>
  <si>
    <t>Petig, Eric</t>
  </si>
  <si>
    <t>Diffenderfer, Michael</t>
  </si>
  <si>
    <t>Taylor, Thomas</t>
  </si>
  <si>
    <t>Bartolomeo, Jessica</t>
  </si>
  <si>
    <t>Stough, Debra</t>
  </si>
  <si>
    <t>Pyle, Karen</t>
  </si>
  <si>
    <t>Morales, Elaine</t>
  </si>
  <si>
    <t>DeSilva, Mark</t>
  </si>
  <si>
    <t>Mitchell, Sheela</t>
  </si>
  <si>
    <t>Knott, Lori</t>
  </si>
  <si>
    <t>Foster, Michael</t>
  </si>
  <si>
    <t>Martindale, Matthew</t>
  </si>
  <si>
    <t>Johnson, John</t>
  </si>
  <si>
    <t>Amador, Christine</t>
  </si>
  <si>
    <t>Petrowsky, Yvonne</t>
  </si>
  <si>
    <t>McClure, Timothy</t>
  </si>
  <si>
    <t>Rangel, Lorna</t>
  </si>
  <si>
    <t>Parker, Mark</t>
  </si>
  <si>
    <t>Larsen, Sally</t>
  </si>
  <si>
    <t>Liu, Vicki</t>
  </si>
  <si>
    <t>Ferdinand, Kenneth</t>
  </si>
  <si>
    <t>Cox, Andrew</t>
  </si>
  <si>
    <t>Morell, Randy</t>
  </si>
  <si>
    <t>Weber, Sheri</t>
  </si>
  <si>
    <t>Cieslar, Hsi</t>
  </si>
  <si>
    <t>Ball, Michael</t>
  </si>
  <si>
    <t>Fisher, Randall</t>
  </si>
  <si>
    <t>Cox, Sonia</t>
  </si>
  <si>
    <t>Gillis, Carol</t>
  </si>
  <si>
    <t>Seely, Diane</t>
  </si>
  <si>
    <t>Wong, Scott</t>
  </si>
  <si>
    <t>Mundhenke, Emily</t>
  </si>
  <si>
    <t>Holifield, Tamara</t>
  </si>
  <si>
    <t>Nicolaus, Cliff</t>
  </si>
  <si>
    <t>Bichon, Gerald</t>
  </si>
  <si>
    <t>August, Mark</t>
  </si>
  <si>
    <t>Miller, Martin</t>
  </si>
  <si>
    <t>Melton, Timothy</t>
  </si>
  <si>
    <t>Masterson, Bacardi</t>
  </si>
  <si>
    <t>Thornburg, Lynn</t>
  </si>
  <si>
    <t>Adkins, Grazyna</t>
  </si>
  <si>
    <t>Harvey, Harlon</t>
  </si>
  <si>
    <t>Sugadhan, Christopher</t>
  </si>
  <si>
    <t>Thomas, Don</t>
  </si>
  <si>
    <t>Griffin, Jill</t>
  </si>
  <si>
    <t>Rhodes, Jennifer</t>
  </si>
  <si>
    <t>Velasquez, Colleen</t>
  </si>
  <si>
    <t>Harker, James</t>
  </si>
  <si>
    <t>Shaw, Karen</t>
  </si>
  <si>
    <t>Zink, Patrick</t>
  </si>
  <si>
    <t>Sanford, Donald</t>
  </si>
  <si>
    <t>Grivoyiannis, Nancy</t>
  </si>
  <si>
    <t>Stempel, Charles</t>
  </si>
  <si>
    <t>Kromer, Barbara</t>
  </si>
  <si>
    <t>Lawson, David</t>
  </si>
  <si>
    <t>Schmotzer, Desiree</t>
  </si>
  <si>
    <t>Dyer, John</t>
  </si>
  <si>
    <t>Conarro, Shannon</t>
  </si>
  <si>
    <t>Rinna, Florianne</t>
  </si>
  <si>
    <t>Simpson, Robbie</t>
  </si>
  <si>
    <t>McCabe, Danny</t>
  </si>
  <si>
    <t>Razo, Kevin</t>
  </si>
  <si>
    <t>Byron, Timothy</t>
  </si>
  <si>
    <t>Shepherd, Dominic</t>
  </si>
  <si>
    <t>Fulop, Timothy</t>
  </si>
  <si>
    <t>Amundrud, Al</t>
  </si>
  <si>
    <t>Brady, David</t>
  </si>
  <si>
    <t>Brown, David</t>
  </si>
  <si>
    <t>Burtchell, Dwight</t>
  </si>
  <si>
    <t>Westcott, Adam</t>
  </si>
  <si>
    <t>Blackhurst, Deborah</t>
  </si>
  <si>
    <t>Bolte, Michael</t>
  </si>
  <si>
    <t>Rivera, Fiona</t>
  </si>
  <si>
    <t>Frazier, Ignacio</t>
  </si>
  <si>
    <t>Barnes, Kevin</t>
  </si>
  <si>
    <t>Bolish, Kevin</t>
  </si>
  <si>
    <t>Marshall, Laura</t>
  </si>
  <si>
    <t>Pyle, John</t>
  </si>
  <si>
    <t>Jones, Brett</t>
  </si>
  <si>
    <t>Carmichael, Phillip</t>
  </si>
  <si>
    <t>Lozano, John</t>
  </si>
  <si>
    <t>Stephens, Mark</t>
  </si>
  <si>
    <t>Dempsey, Madelyn</t>
  </si>
  <si>
    <t>Smith, Christopher</t>
  </si>
  <si>
    <t>O'Donnell, John</t>
  </si>
  <si>
    <t>Tyler, Gary</t>
  </si>
  <si>
    <t>Aubin, Lincoln</t>
  </si>
  <si>
    <t>Carrillo, Barbara</t>
  </si>
  <si>
    <t>Greenlee, Gary</t>
  </si>
  <si>
    <t>Walters, Melissa</t>
  </si>
  <si>
    <t>Etschmaier, Jaime</t>
  </si>
  <si>
    <t>Lara, Kevin</t>
  </si>
  <si>
    <t>Physics</t>
  </si>
  <si>
    <t>Chemistry</t>
  </si>
  <si>
    <t>Rom</t>
  </si>
  <si>
    <t>Sam</t>
  </si>
  <si>
    <t>Bob</t>
  </si>
  <si>
    <t>Emma</t>
  </si>
  <si>
    <t>Sara</t>
  </si>
  <si>
    <t>Tim</t>
  </si>
  <si>
    <t>Count</t>
  </si>
  <si>
    <t>Order No</t>
  </si>
  <si>
    <t>Product</t>
  </si>
  <si>
    <t>Price</t>
  </si>
  <si>
    <t>Mobile</t>
  </si>
  <si>
    <t>Television</t>
  </si>
  <si>
    <t>AC</t>
  </si>
  <si>
    <t>Mobile and AC Total</t>
  </si>
  <si>
    <t xml:space="preserve">clark, susan </t>
  </si>
  <si>
    <t xml:space="preserve">garcia, nita </t>
  </si>
  <si>
    <t xml:space="preserve">johnson, gail </t>
  </si>
  <si>
    <t xml:space="preserve">baker, leslie </t>
  </si>
  <si>
    <t xml:space="preserve">huckstein, kathy </t>
  </si>
  <si>
    <t xml:space="preserve">martin, charles </t>
  </si>
  <si>
    <t xml:space="preserve">poolet, tom </t>
  </si>
  <si>
    <t xml:space="preserve">kelly, steve </t>
  </si>
  <si>
    <t xml:space="preserve">kobus, jim </t>
  </si>
  <si>
    <t xml:space="preserve">depasse, greggory </t>
  </si>
  <si>
    <t xml:space="preserve">freeman, bonnie </t>
  </si>
  <si>
    <t xml:space="preserve">moore, suzanne </t>
  </si>
  <si>
    <t xml:space="preserve">frazee, john </t>
  </si>
  <si>
    <t xml:space="preserve">graczyk, david </t>
  </si>
  <si>
    <t xml:space="preserve">hamilton, neeta </t>
  </si>
  <si>
    <t xml:space="preserve">koch, annette </t>
  </si>
  <si>
    <t xml:space="preserve">maclennan, mike </t>
  </si>
  <si>
    <t xml:space="preserve">martinez, dave </t>
  </si>
  <si>
    <t xml:space="preserve">schiel, john </t>
  </si>
  <si>
    <t xml:space="preserve">mcconnell, michelle </t>
  </si>
  <si>
    <t xml:space="preserve">weingarten, sharon </t>
  </si>
  <si>
    <t xml:space="preserve">kendall, joann </t>
  </si>
  <si>
    <t xml:space="preserve">montgomery, michelle </t>
  </si>
  <si>
    <t xml:space="preserve">perrotti, vince </t>
  </si>
  <si>
    <t xml:space="preserve">cahn, chris </t>
  </si>
  <si>
    <t xml:space="preserve">moyers, kathy </t>
  </si>
  <si>
    <t xml:space="preserve">shilling, kim </t>
  </si>
  <si>
    <t xml:space="preserve">basso, cathy </t>
  </si>
  <si>
    <t xml:space="preserve">bradshaw, jill </t>
  </si>
  <si>
    <t xml:space="preserve">hatfield, sam </t>
  </si>
  <si>
    <t xml:space="preserve">kuseski, linda </t>
  </si>
  <si>
    <t xml:space="preserve">puri, marie </t>
  </si>
  <si>
    <t xml:space="preserve">turner, jerry </t>
  </si>
  <si>
    <t xml:space="preserve">wells, ann </t>
  </si>
  <si>
    <t xml:space="preserve">fink, karla </t>
  </si>
  <si>
    <t xml:space="preserve">gregory, bill </t>
  </si>
  <si>
    <t xml:space="preserve">hytner, sheryl </t>
  </si>
  <si>
    <t xml:space="preserve">lackner, lisa </t>
  </si>
  <si>
    <t xml:space="preserve">stone, karen </t>
  </si>
  <si>
    <t xml:space="preserve">riley, janice </t>
  </si>
  <si>
    <t xml:space="preserve">trainer, pam </t>
  </si>
  <si>
    <t xml:space="preserve">wilson, lana </t>
  </si>
  <si>
    <t xml:space="preserve">benabe, nancy </t>
  </si>
  <si>
    <t xml:space="preserve">farnes, terri </t>
  </si>
  <si>
    <t xml:space="preserve">houck, nancy </t>
  </si>
  <si>
    <t xml:space="preserve">hall, eric </t>
  </si>
  <si>
    <t xml:space="preserve">knaus, linda </t>
  </si>
  <si>
    <t xml:space="preserve">mccoy, brian </t>
  </si>
  <si>
    <t xml:space="preserve">boston, roger </t>
  </si>
  <si>
    <t xml:space="preserve">shyer, candice </t>
  </si>
  <si>
    <t xml:space="preserve">wechel, kathy </t>
  </si>
  <si>
    <t xml:space="preserve">gibbs, peggy </t>
  </si>
  <si>
    <t xml:space="preserve">olsen, donna </t>
  </si>
  <si>
    <t xml:space="preserve">petkovitch, ila </t>
  </si>
  <si>
    <t xml:space="preserve">darling, jim </t>
  </si>
  <si>
    <t xml:space="preserve">larson, karen </t>
  </si>
  <si>
    <t xml:space="preserve">woods, gwen </t>
  </si>
  <si>
    <t xml:space="preserve">powell, jon </t>
  </si>
  <si>
    <t xml:space="preserve">rezendes, nancy </t>
  </si>
  <si>
    <t xml:space="preserve">zyzniewski, jon </t>
  </si>
  <si>
    <t xml:space="preserve">jackson, matt </t>
  </si>
  <si>
    <t xml:space="preserve">snyder, ron </t>
  </si>
  <si>
    <t xml:space="preserve">suppes, beau </t>
  </si>
  <si>
    <t xml:space="preserve">wagner, melissa </t>
  </si>
  <si>
    <t xml:space="preserve">burr, helen </t>
  </si>
  <si>
    <t xml:space="preserve">hartman, elinor </t>
  </si>
  <si>
    <t xml:space="preserve">jackson, nancy </t>
  </si>
  <si>
    <t xml:space="preserve">mcmanus, tim </t>
  </si>
  <si>
    <t xml:space="preserve">peck, brian </t>
  </si>
  <si>
    <t xml:space="preserve">purvis, john </t>
  </si>
  <si>
    <t xml:space="preserve">shortt, karol </t>
  </si>
  <si>
    <t xml:space="preserve">wood, jim </t>
  </si>
  <si>
    <t xml:space="preserve">Depasse, Greggory </t>
  </si>
  <si>
    <t xml:space="preserve">Maclennan, Mike </t>
  </si>
  <si>
    <t xml:space="preserve">Mcconnell, Michelle </t>
  </si>
  <si>
    <t xml:space="preserve">Mccoy, Brian </t>
  </si>
  <si>
    <t xml:space="preserve">Mcmanus, Tim </t>
  </si>
  <si>
    <t>Proper Name</t>
  </si>
  <si>
    <t>Country"</t>
  </si>
  <si>
    <t>Value</t>
  </si>
  <si>
    <t>UK</t>
  </si>
  <si>
    <t>FR</t>
  </si>
  <si>
    <t>DE</t>
  </si>
  <si>
    <t>Company</t>
  </si>
  <si>
    <t>Office Phone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</si>
</sst>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_);\(0\)"/>
    <numFmt numFmtId="166" formatCode="000\-00\-0000"/>
    <numFmt numFmtId="167" formatCode="[&lt;=9999999]###\-####;\(###\)\ ###\-####"/>
    <numFmt numFmtId="168" formatCode="#,##0.0,,"/>
    <numFmt numFmtId="169" formatCode="[$-F800]dddd\,\ mmmm\ dd\,\ yyyy"/>
    <numFmt numFmtId="170" formatCode="0.0%"/>
    <numFmt numFmtId="171" formatCode="0.0%;[Red]\-0.0%"/>
    <numFmt numFmtId="172" formatCode="_(* #,##0.0_);_(* \(#,##0.0\);_(* &quot;-&quot;??_);_(@_)"/>
    <numFmt numFmtId="173" formatCode="dddd\,\ mmmm\ dd\,\ yyyy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</font>
    <font>
      <b/>
      <sz val="1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92CDDC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4" borderId="2"/>
    <xf numFmtId="44" fontId="2" fillId="0" borderId="0" applyFont="0" applyFill="0" applyBorder="0" applyAlignment="0" applyProtection="0"/>
    <xf numFmtId="44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4" fillId="0" borderId="0" xfId="1" applyFont="1"/>
    <xf numFmtId="0" fontId="5" fillId="2" borderId="1" xfId="1" applyFont="1" applyFill="1" applyBorder="1" applyAlignment="1">
      <alignment vertical="top"/>
    </xf>
    <xf numFmtId="166" fontId="5" fillId="2" borderId="1" xfId="1" applyNumberFormat="1" applyFont="1" applyFill="1" applyBorder="1" applyAlignment="1">
      <alignment horizontal="center" vertical="top"/>
    </xf>
    <xf numFmtId="167" fontId="5" fillId="2" borderId="1" xfId="1" applyNumberFormat="1" applyFont="1" applyFill="1" applyBorder="1" applyAlignment="1">
      <alignment horizontal="center" vertical="top"/>
    </xf>
    <xf numFmtId="0" fontId="5" fillId="2" borderId="1" xfId="1" applyFont="1" applyFill="1" applyBorder="1" applyAlignment="1">
      <alignment horizontal="right" vertical="top"/>
    </xf>
    <xf numFmtId="0" fontId="5" fillId="2" borderId="1" xfId="1" applyFont="1" applyFill="1" applyBorder="1" applyAlignment="1">
      <alignment horizontal="center" vertical="top"/>
    </xf>
    <xf numFmtId="0" fontId="6" fillId="0" borderId="0" xfId="1" applyFont="1"/>
    <xf numFmtId="0" fontId="6" fillId="0" borderId="0" xfId="1" applyFont="1" applyAlignment="1">
      <alignment horizontal="right"/>
    </xf>
    <xf numFmtId="166" fontId="4" fillId="0" borderId="0" xfId="1" applyNumberFormat="1" applyFont="1" applyAlignment="1">
      <alignment horizontal="right"/>
    </xf>
    <xf numFmtId="167" fontId="4" fillId="0" borderId="0" xfId="1" applyNumberFormat="1" applyFont="1" applyAlignment="1">
      <alignment horizontal="right"/>
    </xf>
    <xf numFmtId="164" fontId="4" fillId="0" borderId="0" xfId="2" applyNumberFormat="1" applyFont="1" applyFill="1" applyProtection="1"/>
    <xf numFmtId="0" fontId="4" fillId="0" borderId="0" xfId="1" applyFont="1" applyAlignment="1">
      <alignment horizontal="center"/>
    </xf>
    <xf numFmtId="164" fontId="4" fillId="0" borderId="0" xfId="2" applyNumberFormat="1" applyFont="1" applyProtection="1"/>
    <xf numFmtId="166" fontId="4" fillId="0" borderId="0" xfId="1" applyNumberFormat="1" applyFont="1"/>
    <xf numFmtId="167" fontId="4" fillId="0" borderId="0" xfId="1" applyNumberFormat="1" applyFont="1"/>
    <xf numFmtId="3" fontId="4" fillId="0" borderId="0" xfId="2" applyNumberFormat="1" applyFont="1" applyAlignment="1" applyProtection="1"/>
    <xf numFmtId="3" fontId="4" fillId="0" borderId="0" xfId="2" applyNumberFormat="1" applyFont="1" applyFill="1" applyAlignment="1" applyProtection="1"/>
    <xf numFmtId="165" fontId="4" fillId="3" borderId="1" xfId="2" applyNumberFormat="1" applyFont="1" applyFill="1" applyBorder="1" applyProtection="1"/>
    <xf numFmtId="164" fontId="4" fillId="3" borderId="1" xfId="2" applyNumberFormat="1" applyFont="1" applyFill="1" applyBorder="1" applyProtection="1"/>
    <xf numFmtId="0" fontId="4" fillId="3" borderId="1" xfId="1" applyFont="1" applyFill="1" applyBorder="1"/>
    <xf numFmtId="9" fontId="4" fillId="3" borderId="1" xfId="1" applyNumberFormat="1" applyFont="1" applyFill="1" applyBorder="1"/>
    <xf numFmtId="168" fontId="5" fillId="2" borderId="1" xfId="1" applyNumberFormat="1" applyFont="1" applyFill="1" applyBorder="1" applyAlignment="1">
      <alignment horizontal="left" vertical="top"/>
    </xf>
    <xf numFmtId="3" fontId="5" fillId="2" borderId="1" xfId="2" applyNumberFormat="1" applyFont="1" applyFill="1" applyBorder="1" applyAlignment="1" applyProtection="1">
      <alignment horizontal="right" vertical="top" indent="1"/>
    </xf>
    <xf numFmtId="169" fontId="4" fillId="0" borderId="0" xfId="1" applyNumberFormat="1" applyFont="1"/>
    <xf numFmtId="169" fontId="5" fillId="2" borderId="1" xfId="1" applyNumberFormat="1" applyFont="1" applyFill="1" applyBorder="1" applyAlignment="1">
      <alignment horizontal="right" vertical="top"/>
    </xf>
    <xf numFmtId="0" fontId="5" fillId="0" borderId="0" xfId="1" applyFont="1" applyAlignment="1">
      <alignment wrapText="1"/>
    </xf>
    <xf numFmtId="0" fontId="5" fillId="0" borderId="0" xfId="1" applyFont="1" applyAlignment="1">
      <alignment horizontal="right" wrapText="1"/>
    </xf>
    <xf numFmtId="15" fontId="4" fillId="0" borderId="0" xfId="1" applyNumberFormat="1" applyFont="1"/>
    <xf numFmtId="0" fontId="4" fillId="0" borderId="0" xfId="1" applyFont="1" applyAlignment="1">
      <alignment horizontal="right"/>
    </xf>
    <xf numFmtId="0" fontId="8" fillId="0" borderId="0" xfId="0" applyFont="1"/>
    <xf numFmtId="0" fontId="9" fillId="0" borderId="0" xfId="1" applyFont="1"/>
    <xf numFmtId="0" fontId="9" fillId="0" borderId="0" xfId="1" applyFont="1" applyAlignment="1">
      <alignment horizontal="right"/>
    </xf>
    <xf numFmtId="0" fontId="5" fillId="0" borderId="0" xfId="1" applyFont="1" applyAlignment="1">
      <alignment horizontal="center"/>
    </xf>
    <xf numFmtId="43" fontId="4" fillId="0" borderId="0" xfId="7" applyFont="1" applyFill="1"/>
    <xf numFmtId="0" fontId="5" fillId="0" borderId="0" xfId="1" applyFont="1"/>
    <xf numFmtId="44" fontId="4" fillId="0" borderId="0" xfId="9" applyFont="1" applyFill="1" applyBorder="1"/>
    <xf numFmtId="43" fontId="4" fillId="0" borderId="0" xfId="7" applyFont="1" applyFill="1" applyBorder="1"/>
    <xf numFmtId="40" fontId="4" fillId="0" borderId="0" xfId="1" applyNumberFormat="1" applyFont="1"/>
    <xf numFmtId="170" fontId="4" fillId="0" borderId="0" xfId="10" applyNumberFormat="1" applyFont="1" applyFill="1" applyBorder="1"/>
    <xf numFmtId="170" fontId="4" fillId="0" borderId="0" xfId="10" applyNumberFormat="1" applyFont="1" applyFill="1"/>
    <xf numFmtId="172" fontId="4" fillId="0" borderId="0" xfId="7" applyNumberFormat="1" applyFont="1" applyFill="1"/>
    <xf numFmtId="0" fontId="10" fillId="0" borderId="0" xfId="1" applyFont="1"/>
    <xf numFmtId="0" fontId="5" fillId="5" borderId="0" xfId="1" applyFont="1" applyFill="1"/>
    <xf numFmtId="0" fontId="5" fillId="0" borderId="0" xfId="1" applyFont="1" applyAlignment="1">
      <alignment vertical="top"/>
    </xf>
    <xf numFmtId="0" fontId="5" fillId="0" borderId="0" xfId="1" applyFont="1" applyAlignment="1">
      <alignment horizontal="right" vertical="top"/>
    </xf>
    <xf numFmtId="0" fontId="4" fillId="0" borderId="0" xfId="1" applyFont="1" applyAlignment="1">
      <alignment vertical="top"/>
    </xf>
    <xf numFmtId="14" fontId="4" fillId="0" borderId="0" xfId="1" applyNumberFormat="1" applyFont="1"/>
    <xf numFmtId="18" fontId="4" fillId="0" borderId="0" xfId="1" applyNumberFormat="1" applyFont="1"/>
    <xf numFmtId="173" fontId="5" fillId="2" borderId="1" xfId="1" applyNumberFormat="1" applyFont="1" applyFill="1" applyBorder="1" applyAlignment="1">
      <alignment horizontal="right" vertical="top"/>
    </xf>
    <xf numFmtId="173" fontId="4" fillId="0" borderId="0" xfId="1" applyNumberFormat="1" applyFont="1"/>
    <xf numFmtId="171" fontId="4" fillId="0" borderId="0" xfId="1" applyNumberFormat="1" applyFont="1"/>
    <xf numFmtId="0" fontId="8" fillId="0" borderId="3" xfId="0" applyFont="1" applyBorder="1"/>
    <xf numFmtId="0" fontId="0" fillId="0" borderId="3" xfId="0" applyBorder="1"/>
    <xf numFmtId="0" fontId="0" fillId="6" borderId="3" xfId="0" applyFill="1" applyBorder="1"/>
    <xf numFmtId="0" fontId="0" fillId="7" borderId="3" xfId="0" applyFill="1" applyBorder="1"/>
    <xf numFmtId="164" fontId="4" fillId="0" borderId="0" xfId="2" applyNumberFormat="1" applyFont="1" applyFill="1" applyBorder="1" applyProtection="1"/>
    <xf numFmtId="3" fontId="4" fillId="0" borderId="0" xfId="2" applyNumberFormat="1" applyFont="1" applyFill="1" applyBorder="1" applyAlignment="1" applyProtection="1"/>
    <xf numFmtId="44" fontId="4" fillId="8" borderId="0" xfId="9" applyFont="1" applyFill="1" applyBorder="1"/>
    <xf numFmtId="43" fontId="4" fillId="8" borderId="0" xfId="7" applyFont="1" applyFill="1" applyBorder="1"/>
    <xf numFmtId="44" fontId="4" fillId="9" borderId="0" xfId="9" applyFont="1" applyFill="1" applyBorder="1"/>
    <xf numFmtId="43" fontId="4" fillId="10" borderId="0" xfId="7" applyFont="1" applyFill="1" applyBorder="1"/>
    <xf numFmtId="0" fontId="5" fillId="11" borderId="0" xfId="1" applyFont="1" applyFill="1"/>
    <xf numFmtId="0" fontId="8" fillId="0" borderId="0" xfId="0" applyFont="1" applyAlignment="1">
      <alignment horizontal="center"/>
    </xf>
    <xf numFmtId="0" fontId="4" fillId="0" borderId="0" xfId="1" applyFont="1" applyAlignment="1">
      <alignment horizontal="center"/>
    </xf>
    <xf numFmtId="0" fontId="0" fillId="0" borderId="0" xfId="0"/>
  </cellXfs>
  <cellStyles count="11">
    <cellStyle name="Comma 2" xfId="2" xr:uid="{00000000-0005-0000-0000-000002000000}"/>
    <cellStyle name="Comma 2 2" xfId="7" xr:uid="{E9818AD7-435B-4909-A9DB-DDD3A70CFB01}"/>
    <cellStyle name="Currency 2" xfId="5" xr:uid="{00000000-0005-0000-0000-000003000000}"/>
    <cellStyle name="Currency 2 2" xfId="9" xr:uid="{0DE730B5-7FDC-4357-A732-837E07834822}"/>
    <cellStyle name="Currency 3" xfId="6" xr:uid="{67731B46-54E9-43D5-A341-5A19F9D845FF}"/>
    <cellStyle name="MyBlue" xfId="4" xr:uid="{00000000-0005-0000-0000-000004000000}"/>
    <cellStyle name="Normal" xfId="0" builtinId="0"/>
    <cellStyle name="Normal 2" xfId="1" xr:uid="{00000000-0005-0000-0000-000006000000}"/>
    <cellStyle name="Normal 7" xfId="8" xr:uid="{E18E319B-8595-42B1-8317-04DCE5E51D2B}"/>
    <cellStyle name="Percent 2" xfId="3" xr:uid="{00000000-0005-0000-0000-000007000000}"/>
    <cellStyle name="Percent 2 2" xfId="10" xr:uid="{C6A8F046-AAE9-4ED0-A476-0B4A467F1466}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54918</xdr:colOff>
      <xdr:row>0</xdr:row>
      <xdr:rowOff>109837</xdr:rowOff>
    </xdr:from>
    <xdr:to>
      <xdr:col>0</xdr:col>
      <xdr:colOff>1510270</xdr:colOff>
      <xdr:row>0</xdr:row>
      <xdr:rowOff>482599</xdr:rowOff>
    </xdr:to>
    <xdr:sp macro="[0]!Sortbyname" textlink="">
      <xdr:nvSpPr>
        <xdr:cNvPr id="2" name="Rounded Rectangle 1">
          <a:extLst>
            <a:ext uri="{FF2B5EF4-FFF2-40B4-BE49-F238E27FC236}">
              <a16:creationId xmlns:a16="http://schemas.microsoft.com/office/drawing/2014/main" id="{0D749B44-88DC-329C-5390-9CC0E16AA943}"/>
            </a:ext>
          </a:extLst>
        </xdr:cNvPr>
        <xdr:cNvSpPr/>
      </xdr:nvSpPr>
      <xdr:spPr>
        <a:xfrm>
          <a:off x="54918" y="109837"/>
          <a:ext cx="1455352" cy="37276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kern="1200"/>
            <a:t>Sort by Name</a:t>
          </a:r>
        </a:p>
      </xdr:txBody>
    </xdr:sp>
    <xdr:clientData/>
  </xdr:twoCellAnchor>
  <xdr:twoCellAnchor>
    <xdr:from>
      <xdr:col>1</xdr:col>
      <xdr:colOff>89243</xdr:colOff>
      <xdr:row>0</xdr:row>
      <xdr:rowOff>130432</xdr:rowOff>
    </xdr:from>
    <xdr:to>
      <xdr:col>1</xdr:col>
      <xdr:colOff>1489675</xdr:colOff>
      <xdr:row>0</xdr:row>
      <xdr:rowOff>446216</xdr:rowOff>
    </xdr:to>
    <xdr:sp macro="[0]!Sortbydepartment" textlink="">
      <xdr:nvSpPr>
        <xdr:cNvPr id="4" name="Rounded Rectangle 3">
          <a:extLst>
            <a:ext uri="{FF2B5EF4-FFF2-40B4-BE49-F238E27FC236}">
              <a16:creationId xmlns:a16="http://schemas.microsoft.com/office/drawing/2014/main" id="{B1315755-F75A-BD71-DC8F-5032F7E857D5}"/>
            </a:ext>
          </a:extLst>
        </xdr:cNvPr>
        <xdr:cNvSpPr/>
      </xdr:nvSpPr>
      <xdr:spPr>
        <a:xfrm>
          <a:off x="1778000" y="130432"/>
          <a:ext cx="1400432" cy="31578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/>
            <a:t>Sort by</a:t>
          </a:r>
          <a:r>
            <a:rPr lang="en-US" sz="1100" kern="1200" baseline="0"/>
            <a:t> Department</a:t>
          </a:r>
          <a:endParaRPr lang="en-US" sz="1100" kern="12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ennistaylor/Library/Containers/com.microsoft.Excel/Data/Documents/D:/Business21Publishing/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____Excel%20Class%20Files/Chartdat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ennistaylor/Documents/G:/ExcelClassFiles/Macros/FilesforMacroClass/SalesLis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fthLineFormatting"/>
      <sheetName val="AutoFill"/>
      <sheetName val="Lookups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riginal Lis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11"/>
    <pageSetUpPr autoPageBreaks="0"/>
  </sheetPr>
  <dimension ref="A1:AC699"/>
  <sheetViews>
    <sheetView topLeftCell="D1" zoomScale="157" zoomScaleNormal="200" zoomScalePageLayoutView="200" workbookViewId="0">
      <selection activeCell="J1" sqref="J1"/>
    </sheetView>
  </sheetViews>
  <sheetFormatPr baseColWidth="10" defaultColWidth="19.83203125" defaultRowHeight="15" x14ac:dyDescent="0.2"/>
  <cols>
    <col min="1" max="1" width="16.1640625" style="1" customWidth="1"/>
    <col min="2" max="2" width="13.83203125" style="1" customWidth="1"/>
    <col min="3" max="3" width="12.33203125" style="14" bestFit="1" customWidth="1"/>
    <col min="4" max="4" width="14.5" style="15" bestFit="1" customWidth="1"/>
    <col min="5" max="5" width="9.6640625" style="1" bestFit="1" customWidth="1"/>
    <col min="6" max="6" width="30.5" style="24" bestFit="1" customWidth="1"/>
    <col min="7" max="7" width="5.83203125" style="1" bestFit="1" customWidth="1"/>
    <col min="8" max="8" width="10" style="1" bestFit="1" customWidth="1"/>
    <col min="9" max="9" width="8.1640625" style="16" bestFit="1" customWidth="1"/>
    <col min="10" max="10" width="30.5" style="50" bestFit="1" customWidth="1"/>
    <col min="11" max="11" width="5.5" style="1" bestFit="1" customWidth="1"/>
    <col min="12" max="16" width="4.5" style="1" bestFit="1" customWidth="1"/>
    <col min="17" max="17" width="6.33203125" style="1" customWidth="1"/>
    <col min="18" max="18" width="5.1640625" style="1" bestFit="1" customWidth="1"/>
    <col min="19" max="23" width="4.5" style="1" bestFit="1" customWidth="1"/>
    <col min="24" max="27" width="19.83203125" style="1"/>
    <col min="28" max="28" width="8.5" style="1" bestFit="1" customWidth="1"/>
    <col min="29" max="29" width="8.83203125" style="1" bestFit="1" customWidth="1"/>
    <col min="30" max="16384" width="19.83203125" style="1"/>
  </cols>
  <sheetData>
    <row r="1" spans="1:29" x14ac:dyDescent="0.2">
      <c r="A1" s="22" t="s">
        <v>0</v>
      </c>
      <c r="B1" s="2" t="s">
        <v>1</v>
      </c>
      <c r="C1" s="3" t="s">
        <v>2</v>
      </c>
      <c r="D1" s="4" t="s">
        <v>3</v>
      </c>
      <c r="E1" s="2" t="s">
        <v>4</v>
      </c>
      <c r="F1" s="25" t="s">
        <v>5</v>
      </c>
      <c r="G1" s="5" t="s">
        <v>6</v>
      </c>
      <c r="H1" s="6" t="s">
        <v>7</v>
      </c>
      <c r="I1" s="23" t="s">
        <v>750</v>
      </c>
      <c r="J1" s="49" t="s">
        <v>5</v>
      </c>
      <c r="K1" s="7"/>
      <c r="L1" s="8" t="s">
        <v>8</v>
      </c>
      <c r="M1" s="8" t="s">
        <v>9</v>
      </c>
      <c r="N1" s="8" t="s">
        <v>10</v>
      </c>
      <c r="O1" s="8" t="s">
        <v>11</v>
      </c>
      <c r="P1" s="8" t="s">
        <v>12</v>
      </c>
      <c r="R1" s="7"/>
      <c r="S1" s="8" t="s">
        <v>8</v>
      </c>
      <c r="T1" s="8" t="s">
        <v>9</v>
      </c>
      <c r="U1" s="8" t="s">
        <v>10</v>
      </c>
      <c r="V1" s="8" t="s">
        <v>11</v>
      </c>
      <c r="W1" s="8" t="s">
        <v>12</v>
      </c>
      <c r="AB1" s="2" t="s">
        <v>13</v>
      </c>
      <c r="AC1" s="2" t="s">
        <v>14</v>
      </c>
    </row>
    <row r="2" spans="1:29" x14ac:dyDescent="0.2">
      <c r="A2" s="1" t="s">
        <v>144</v>
      </c>
      <c r="B2" s="1" t="s">
        <v>125</v>
      </c>
      <c r="C2" s="9">
        <v>546546374</v>
      </c>
      <c r="D2" s="10">
        <v>7021299076</v>
      </c>
      <c r="E2" s="1" t="s">
        <v>22</v>
      </c>
      <c r="F2" s="24">
        <v>40314</v>
      </c>
      <c r="G2" s="11">
        <f t="shared" ref="G2:G65" ca="1" si="0">DATEDIF(F2,TODAY(),"Y")</f>
        <v>14</v>
      </c>
      <c r="H2" s="12">
        <v>2</v>
      </c>
      <c r="I2" s="17">
        <v>94679</v>
      </c>
      <c r="J2" s="50">
        <v>40314</v>
      </c>
      <c r="K2" s="7" t="s">
        <v>18</v>
      </c>
      <c r="L2" s="13">
        <v>33</v>
      </c>
      <c r="M2" s="13">
        <v>40</v>
      </c>
      <c r="N2" s="13">
        <v>37</v>
      </c>
      <c r="O2" s="13">
        <v>48</v>
      </c>
      <c r="P2" s="13">
        <v>48</v>
      </c>
      <c r="Q2" s="13"/>
      <c r="R2" s="7" t="s">
        <v>19</v>
      </c>
      <c r="S2" s="13">
        <v>45</v>
      </c>
      <c r="T2" s="13">
        <v>47</v>
      </c>
      <c r="U2" s="13">
        <v>35</v>
      </c>
      <c r="V2" s="13">
        <v>49</v>
      </c>
      <c r="W2" s="13">
        <v>37</v>
      </c>
      <c r="AB2" s="18">
        <v>0</v>
      </c>
      <c r="AC2" s="20">
        <v>0</v>
      </c>
    </row>
    <row r="3" spans="1:29" x14ac:dyDescent="0.2">
      <c r="A3" s="1" t="s">
        <v>160</v>
      </c>
      <c r="B3" s="1" t="s">
        <v>125</v>
      </c>
      <c r="C3" s="9">
        <v>594680949</v>
      </c>
      <c r="D3" s="10">
        <v>7162042331</v>
      </c>
      <c r="E3" s="1" t="s">
        <v>17</v>
      </c>
      <c r="F3" s="24">
        <v>39284</v>
      </c>
      <c r="G3" s="11">
        <f t="shared" ca="1" si="0"/>
        <v>17</v>
      </c>
      <c r="H3" s="12">
        <v>5</v>
      </c>
      <c r="I3" s="17">
        <v>68302</v>
      </c>
      <c r="J3" s="50">
        <v>39284</v>
      </c>
      <c r="K3" s="7" t="s">
        <v>23</v>
      </c>
      <c r="L3" s="13">
        <v>35</v>
      </c>
      <c r="M3" s="13">
        <v>38</v>
      </c>
      <c r="N3" s="13">
        <v>36</v>
      </c>
      <c r="O3" s="13">
        <v>48</v>
      </c>
      <c r="P3" s="13">
        <v>41</v>
      </c>
      <c r="Q3" s="13"/>
      <c r="R3" s="7" t="s">
        <v>24</v>
      </c>
      <c r="S3" s="13">
        <v>39</v>
      </c>
      <c r="T3" s="13">
        <v>35</v>
      </c>
      <c r="U3" s="13">
        <v>45</v>
      </c>
      <c r="V3" s="13">
        <v>34</v>
      </c>
      <c r="W3" s="13">
        <v>37</v>
      </c>
      <c r="AB3" s="19">
        <v>5000</v>
      </c>
      <c r="AC3" s="21">
        <v>0.01</v>
      </c>
    </row>
    <row r="4" spans="1:29" x14ac:dyDescent="0.2">
      <c r="A4" s="1" t="s">
        <v>371</v>
      </c>
      <c r="B4" s="1" t="s">
        <v>125</v>
      </c>
      <c r="C4" s="9">
        <v>828715080</v>
      </c>
      <c r="D4" s="10">
        <v>5015858234</v>
      </c>
      <c r="E4" s="1" t="s">
        <v>22</v>
      </c>
      <c r="F4" s="24">
        <v>37038</v>
      </c>
      <c r="G4" s="11">
        <f t="shared" ca="1" si="0"/>
        <v>23</v>
      </c>
      <c r="H4" s="12">
        <v>1</v>
      </c>
      <c r="I4" s="17">
        <v>57915</v>
      </c>
      <c r="J4" s="50">
        <v>37038</v>
      </c>
      <c r="K4" s="7" t="s">
        <v>26</v>
      </c>
      <c r="L4" s="13">
        <v>49</v>
      </c>
      <c r="M4" s="13">
        <v>36</v>
      </c>
      <c r="N4" s="13">
        <v>40</v>
      </c>
      <c r="O4" s="13">
        <v>35</v>
      </c>
      <c r="P4" s="13">
        <v>44</v>
      </c>
      <c r="Q4" s="13"/>
      <c r="R4" s="7" t="s">
        <v>27</v>
      </c>
      <c r="S4" s="13">
        <v>30</v>
      </c>
      <c r="T4" s="13">
        <v>45</v>
      </c>
      <c r="U4" s="13">
        <v>43</v>
      </c>
      <c r="V4" s="13">
        <v>46</v>
      </c>
      <c r="W4" s="13">
        <v>30</v>
      </c>
      <c r="AB4" s="19">
        <v>15000</v>
      </c>
      <c r="AC4" s="21">
        <v>0.03</v>
      </c>
    </row>
    <row r="5" spans="1:29" x14ac:dyDescent="0.2">
      <c r="A5" s="1" t="s">
        <v>753</v>
      </c>
      <c r="B5" s="1" t="s">
        <v>125</v>
      </c>
      <c r="C5" s="9">
        <v>688769770</v>
      </c>
      <c r="D5" s="10">
        <v>5013883356</v>
      </c>
      <c r="E5" s="1" t="s">
        <v>81</v>
      </c>
      <c r="F5" s="24">
        <v>34713</v>
      </c>
      <c r="G5" s="11">
        <f t="shared" ca="1" si="0"/>
        <v>30</v>
      </c>
      <c r="H5" s="12">
        <v>2</v>
      </c>
      <c r="I5" s="17">
        <v>46384</v>
      </c>
      <c r="J5" s="50">
        <v>34713</v>
      </c>
      <c r="K5" s="7" t="s">
        <v>29</v>
      </c>
      <c r="L5" s="13">
        <v>35</v>
      </c>
      <c r="M5" s="13">
        <v>46</v>
      </c>
      <c r="N5" s="13">
        <v>44</v>
      </c>
      <c r="O5" s="13">
        <v>48</v>
      </c>
      <c r="P5" s="13">
        <v>47</v>
      </c>
      <c r="Q5" s="13"/>
      <c r="R5" s="7" t="s">
        <v>30</v>
      </c>
      <c r="S5" s="13">
        <v>46</v>
      </c>
      <c r="T5" s="13">
        <v>40</v>
      </c>
      <c r="U5" s="13">
        <v>45</v>
      </c>
      <c r="V5" s="13">
        <v>45</v>
      </c>
      <c r="W5" s="13">
        <v>37</v>
      </c>
      <c r="AB5" s="19">
        <v>25000</v>
      </c>
      <c r="AC5" s="21">
        <v>0.05</v>
      </c>
    </row>
    <row r="6" spans="1:29" x14ac:dyDescent="0.2">
      <c r="A6" s="1" t="s">
        <v>751</v>
      </c>
      <c r="B6" s="1" t="s">
        <v>125</v>
      </c>
      <c r="C6" s="9">
        <v>863736129</v>
      </c>
      <c r="D6" s="10">
        <v>6026299247</v>
      </c>
      <c r="E6" s="1" t="s">
        <v>33</v>
      </c>
      <c r="F6" s="24">
        <v>34157</v>
      </c>
      <c r="G6" s="11">
        <f t="shared" ca="1" si="0"/>
        <v>31</v>
      </c>
      <c r="H6" s="12">
        <v>4</v>
      </c>
      <c r="I6" s="17">
        <v>34834</v>
      </c>
      <c r="J6" s="50">
        <v>34157</v>
      </c>
      <c r="K6" s="7" t="s">
        <v>34</v>
      </c>
      <c r="L6" s="13">
        <v>31</v>
      </c>
      <c r="M6" s="13">
        <v>49</v>
      </c>
      <c r="N6" s="13">
        <v>43</v>
      </c>
      <c r="O6" s="13">
        <v>42</v>
      </c>
      <c r="P6" s="13">
        <v>34</v>
      </c>
      <c r="Q6" s="13"/>
      <c r="R6" s="7" t="s">
        <v>35</v>
      </c>
      <c r="S6" s="13">
        <v>38</v>
      </c>
      <c r="T6" s="13">
        <v>39</v>
      </c>
      <c r="U6" s="13">
        <v>42</v>
      </c>
      <c r="V6" s="13">
        <v>40</v>
      </c>
      <c r="W6" s="13">
        <v>43</v>
      </c>
      <c r="AB6" s="19">
        <v>35000</v>
      </c>
      <c r="AC6" s="21">
        <v>0.06</v>
      </c>
    </row>
    <row r="7" spans="1:29" x14ac:dyDescent="0.2">
      <c r="A7" s="1" t="s">
        <v>465</v>
      </c>
      <c r="B7" s="1" t="s">
        <v>68</v>
      </c>
      <c r="C7" s="9">
        <v>978092408</v>
      </c>
      <c r="D7" s="10">
        <v>6178443818</v>
      </c>
      <c r="E7" s="1" t="s">
        <v>22</v>
      </c>
      <c r="F7" s="24">
        <v>36609</v>
      </c>
      <c r="G7" s="11">
        <f t="shared" ca="1" si="0"/>
        <v>24</v>
      </c>
      <c r="H7" s="12">
        <v>2</v>
      </c>
      <c r="I7" s="17">
        <v>110890</v>
      </c>
      <c r="J7" s="50">
        <v>36609</v>
      </c>
      <c r="K7" s="7" t="s">
        <v>37</v>
      </c>
      <c r="L7" s="13">
        <v>43</v>
      </c>
      <c r="M7" s="13">
        <v>38</v>
      </c>
      <c r="N7" s="13">
        <v>44</v>
      </c>
      <c r="O7" s="13">
        <v>44</v>
      </c>
      <c r="P7" s="13">
        <v>39</v>
      </c>
      <c r="Q7" s="13"/>
      <c r="R7" s="7" t="s">
        <v>38</v>
      </c>
      <c r="S7" s="13">
        <v>30</v>
      </c>
      <c r="T7" s="13">
        <v>47</v>
      </c>
      <c r="U7" s="13">
        <v>46</v>
      </c>
      <c r="V7" s="13">
        <v>42</v>
      </c>
      <c r="W7" s="13">
        <v>34</v>
      </c>
      <c r="AB7" s="19">
        <v>45000</v>
      </c>
      <c r="AC7" s="21">
        <v>7.0000000000000007E-2</v>
      </c>
    </row>
    <row r="8" spans="1:29" x14ac:dyDescent="0.2">
      <c r="A8" s="1" t="s">
        <v>630</v>
      </c>
      <c r="B8" s="1" t="s">
        <v>68</v>
      </c>
      <c r="C8" s="9">
        <v>877122222</v>
      </c>
      <c r="D8" s="10">
        <v>2126632360</v>
      </c>
      <c r="E8" s="1" t="s">
        <v>22</v>
      </c>
      <c r="F8" s="24">
        <v>34698</v>
      </c>
      <c r="G8" s="11">
        <f t="shared" ca="1" si="0"/>
        <v>30</v>
      </c>
      <c r="H8" s="12">
        <v>5</v>
      </c>
      <c r="I8" s="17">
        <v>103688</v>
      </c>
      <c r="J8" s="50">
        <v>34698</v>
      </c>
      <c r="AB8" s="19">
        <v>55000</v>
      </c>
      <c r="AC8" s="21">
        <v>0.08</v>
      </c>
    </row>
    <row r="9" spans="1:29" x14ac:dyDescent="0.2">
      <c r="A9" s="1" t="s">
        <v>523</v>
      </c>
      <c r="B9" s="1" t="s">
        <v>68</v>
      </c>
      <c r="C9" s="9">
        <v>698869555</v>
      </c>
      <c r="D9" s="10">
        <v>9144084456</v>
      </c>
      <c r="E9" s="1" t="s">
        <v>17</v>
      </c>
      <c r="F9" s="24">
        <v>37644</v>
      </c>
      <c r="G9" s="11">
        <f t="shared" ca="1" si="0"/>
        <v>22</v>
      </c>
      <c r="H9" s="12">
        <v>3</v>
      </c>
      <c r="I9" s="17">
        <v>99697</v>
      </c>
      <c r="J9" s="50">
        <v>37644</v>
      </c>
      <c r="AB9" s="19">
        <v>65000</v>
      </c>
      <c r="AC9" s="21">
        <v>0.1</v>
      </c>
    </row>
    <row r="10" spans="1:29" x14ac:dyDescent="0.2">
      <c r="A10" s="1" t="s">
        <v>257</v>
      </c>
      <c r="B10" s="1" t="s">
        <v>68</v>
      </c>
      <c r="C10" s="9">
        <v>822974734</v>
      </c>
      <c r="D10" s="10">
        <v>3065750692</v>
      </c>
      <c r="E10" s="1" t="s">
        <v>22</v>
      </c>
      <c r="F10" s="24">
        <v>37127</v>
      </c>
      <c r="G10" s="11">
        <f t="shared" ca="1" si="0"/>
        <v>23</v>
      </c>
      <c r="H10" s="12">
        <v>1</v>
      </c>
      <c r="I10" s="17">
        <v>97695</v>
      </c>
      <c r="J10" s="50">
        <v>37127</v>
      </c>
      <c r="AB10" s="19">
        <v>75000</v>
      </c>
      <c r="AC10" s="21">
        <v>0.11</v>
      </c>
    </row>
    <row r="11" spans="1:29" x14ac:dyDescent="0.2">
      <c r="A11" s="1" t="s">
        <v>752</v>
      </c>
      <c r="B11" s="1" t="s">
        <v>68</v>
      </c>
      <c r="C11" s="9">
        <v>210491464</v>
      </c>
      <c r="D11" s="10">
        <v>4092814530</v>
      </c>
      <c r="E11" s="1" t="s">
        <v>22</v>
      </c>
      <c r="F11" s="24">
        <v>37631</v>
      </c>
      <c r="G11" s="11">
        <f t="shared" ca="1" si="0"/>
        <v>22</v>
      </c>
      <c r="H11" s="12">
        <v>4</v>
      </c>
      <c r="I11" s="17">
        <v>97292</v>
      </c>
      <c r="J11" s="50">
        <v>37631</v>
      </c>
      <c r="AB11" s="19">
        <v>85000</v>
      </c>
      <c r="AC11" s="21">
        <v>0.12</v>
      </c>
    </row>
    <row r="12" spans="1:29" x14ac:dyDescent="0.2">
      <c r="A12" s="1" t="s">
        <v>67</v>
      </c>
      <c r="B12" s="1" t="s">
        <v>68</v>
      </c>
      <c r="C12" s="9">
        <v>495372474</v>
      </c>
      <c r="D12" s="10">
        <v>2018359862</v>
      </c>
      <c r="E12" s="1" t="s">
        <v>22</v>
      </c>
      <c r="F12" s="24">
        <v>37010</v>
      </c>
      <c r="G12" s="11">
        <f t="shared" ca="1" si="0"/>
        <v>23</v>
      </c>
      <c r="H12" s="12">
        <v>5</v>
      </c>
      <c r="I12" s="17">
        <v>93717</v>
      </c>
      <c r="J12" s="50">
        <v>37010</v>
      </c>
      <c r="AB12" s="19">
        <v>95000</v>
      </c>
      <c r="AC12" s="21">
        <v>0.13</v>
      </c>
    </row>
    <row r="13" spans="1:29" x14ac:dyDescent="0.2">
      <c r="A13" s="1" t="s">
        <v>695</v>
      </c>
      <c r="B13" s="1" t="s">
        <v>68</v>
      </c>
      <c r="C13" s="9">
        <v>272714784</v>
      </c>
      <c r="D13" s="10">
        <v>3053986051</v>
      </c>
      <c r="E13" s="1" t="s">
        <v>17</v>
      </c>
      <c r="F13" s="24">
        <v>34943</v>
      </c>
      <c r="G13" s="11">
        <f t="shared" ca="1" si="0"/>
        <v>29</v>
      </c>
      <c r="H13" s="12">
        <v>5</v>
      </c>
      <c r="I13" s="17">
        <v>86554</v>
      </c>
      <c r="J13" s="50">
        <v>34943</v>
      </c>
    </row>
    <row r="14" spans="1:29" x14ac:dyDescent="0.2">
      <c r="A14" s="1" t="s">
        <v>201</v>
      </c>
      <c r="B14" s="1" t="s">
        <v>68</v>
      </c>
      <c r="C14" s="9">
        <v>468053610</v>
      </c>
      <c r="D14" s="10">
        <v>4087577867</v>
      </c>
      <c r="E14" s="1" t="s">
        <v>22</v>
      </c>
      <c r="F14" s="24">
        <v>36331</v>
      </c>
      <c r="G14" s="11">
        <f t="shared" ca="1" si="0"/>
        <v>25</v>
      </c>
      <c r="H14" s="12">
        <v>1</v>
      </c>
      <c r="I14" s="17">
        <v>79079</v>
      </c>
      <c r="J14" s="50">
        <v>36331</v>
      </c>
    </row>
    <row r="15" spans="1:29" x14ac:dyDescent="0.2">
      <c r="A15" s="1" t="s">
        <v>101</v>
      </c>
      <c r="B15" s="1" t="s">
        <v>68</v>
      </c>
      <c r="C15" s="9">
        <v>981106829</v>
      </c>
      <c r="D15" s="10">
        <v>5188472270</v>
      </c>
      <c r="E15" s="1" t="s">
        <v>22</v>
      </c>
      <c r="F15" s="24">
        <v>40571</v>
      </c>
      <c r="G15" s="11">
        <f t="shared" ca="1" si="0"/>
        <v>14</v>
      </c>
      <c r="H15" s="12">
        <v>5</v>
      </c>
      <c r="I15" s="17">
        <v>75777</v>
      </c>
      <c r="J15" s="50">
        <v>40571</v>
      </c>
    </row>
    <row r="16" spans="1:29" x14ac:dyDescent="0.2">
      <c r="A16" s="1" t="s">
        <v>302</v>
      </c>
      <c r="B16" s="1" t="s">
        <v>68</v>
      </c>
      <c r="C16" s="9">
        <v>366740174</v>
      </c>
      <c r="D16" s="10">
        <v>4115998691</v>
      </c>
      <c r="E16" s="1" t="s">
        <v>22</v>
      </c>
      <c r="F16" s="24">
        <v>39009</v>
      </c>
      <c r="G16" s="11">
        <f t="shared" ca="1" si="0"/>
        <v>18</v>
      </c>
      <c r="H16" s="12">
        <v>4</v>
      </c>
      <c r="I16" s="17">
        <v>64155</v>
      </c>
      <c r="J16" s="50">
        <v>39009</v>
      </c>
    </row>
    <row r="17" spans="1:10" x14ac:dyDescent="0.2">
      <c r="A17" s="1" t="s">
        <v>537</v>
      </c>
      <c r="B17" s="1" t="s">
        <v>68</v>
      </c>
      <c r="C17" s="9">
        <v>794814501</v>
      </c>
      <c r="D17" s="10">
        <v>2075442791</v>
      </c>
      <c r="E17" s="1" t="s">
        <v>22</v>
      </c>
      <c r="F17" s="24">
        <v>39936</v>
      </c>
      <c r="G17" s="11">
        <f t="shared" ca="1" si="0"/>
        <v>15</v>
      </c>
      <c r="H17" s="12">
        <v>3</v>
      </c>
      <c r="I17" s="17">
        <v>48971</v>
      </c>
      <c r="J17" s="50">
        <v>39936</v>
      </c>
    </row>
    <row r="18" spans="1:10" x14ac:dyDescent="0.2">
      <c r="A18" s="1" t="s">
        <v>238</v>
      </c>
      <c r="B18" s="1" t="s">
        <v>68</v>
      </c>
      <c r="C18" s="9">
        <v>970466937</v>
      </c>
      <c r="D18" s="10">
        <v>6088399625</v>
      </c>
      <c r="E18" s="1" t="s">
        <v>22</v>
      </c>
      <c r="F18" s="24">
        <v>38271</v>
      </c>
      <c r="G18" s="11">
        <f t="shared" ca="1" si="0"/>
        <v>20</v>
      </c>
      <c r="H18" s="12">
        <v>4</v>
      </c>
      <c r="I18" s="17">
        <v>40014</v>
      </c>
      <c r="J18" s="50">
        <v>38271</v>
      </c>
    </row>
    <row r="19" spans="1:10" x14ac:dyDescent="0.2">
      <c r="A19" s="1" t="s">
        <v>295</v>
      </c>
      <c r="B19" s="1" t="s">
        <v>68</v>
      </c>
      <c r="C19" s="9">
        <v>429283827</v>
      </c>
      <c r="D19" s="10">
        <v>9086966637</v>
      </c>
      <c r="E19" s="1" t="s">
        <v>33</v>
      </c>
      <c r="F19" s="24">
        <v>34341</v>
      </c>
      <c r="G19" s="11">
        <f t="shared" ca="1" si="0"/>
        <v>31</v>
      </c>
      <c r="H19" s="12">
        <v>1</v>
      </c>
      <c r="I19" s="17">
        <v>39579</v>
      </c>
      <c r="J19" s="50">
        <v>34341</v>
      </c>
    </row>
    <row r="20" spans="1:10" x14ac:dyDescent="0.2">
      <c r="A20" s="1" t="s">
        <v>178</v>
      </c>
      <c r="B20" s="1" t="s">
        <v>68</v>
      </c>
      <c r="C20" s="9">
        <v>554029540</v>
      </c>
      <c r="D20" s="10">
        <v>4161397811</v>
      </c>
      <c r="E20" s="1" t="s">
        <v>81</v>
      </c>
      <c r="F20" s="24">
        <v>34349</v>
      </c>
      <c r="G20" s="11">
        <f t="shared" ca="1" si="0"/>
        <v>31</v>
      </c>
      <c r="H20" s="12">
        <v>3</v>
      </c>
      <c r="I20" s="17">
        <v>37791</v>
      </c>
      <c r="J20" s="50">
        <v>34349</v>
      </c>
    </row>
    <row r="21" spans="1:10" x14ac:dyDescent="0.2">
      <c r="A21" s="1" t="s">
        <v>437</v>
      </c>
      <c r="B21" s="1" t="s">
        <v>68</v>
      </c>
      <c r="C21" s="9">
        <v>936730279</v>
      </c>
      <c r="D21" s="10">
        <v>8077713771</v>
      </c>
      <c r="E21" s="1" t="s">
        <v>33</v>
      </c>
      <c r="F21" s="24">
        <v>38649</v>
      </c>
      <c r="G21" s="11">
        <f t="shared" ca="1" si="0"/>
        <v>19</v>
      </c>
      <c r="H21" s="12">
        <v>3</v>
      </c>
      <c r="I21" s="17">
        <v>23056</v>
      </c>
      <c r="J21" s="50">
        <v>38649</v>
      </c>
    </row>
    <row r="22" spans="1:10" x14ac:dyDescent="0.2">
      <c r="A22" s="1" t="s">
        <v>319</v>
      </c>
      <c r="B22" s="1" t="s">
        <v>68</v>
      </c>
      <c r="C22" s="9">
        <v>110184347</v>
      </c>
      <c r="D22" s="10">
        <v>6041276517</v>
      </c>
      <c r="E22" s="1" t="s">
        <v>33</v>
      </c>
      <c r="F22" s="24">
        <v>37084</v>
      </c>
      <c r="G22" s="11">
        <f t="shared" ca="1" si="0"/>
        <v>23</v>
      </c>
      <c r="H22" s="12">
        <v>1</v>
      </c>
      <c r="I22" s="17">
        <v>19812</v>
      </c>
      <c r="J22" s="50">
        <v>37084</v>
      </c>
    </row>
    <row r="23" spans="1:10" x14ac:dyDescent="0.2">
      <c r="A23" s="1" t="s">
        <v>278</v>
      </c>
      <c r="B23" s="1" t="s">
        <v>68</v>
      </c>
      <c r="C23" s="9">
        <v>684054281</v>
      </c>
      <c r="D23" s="10">
        <v>9173820411</v>
      </c>
      <c r="E23" s="1" t="s">
        <v>81</v>
      </c>
      <c r="F23" s="24">
        <v>40993</v>
      </c>
      <c r="G23" s="11">
        <f t="shared" ca="1" si="0"/>
        <v>12</v>
      </c>
      <c r="H23" s="12">
        <v>4</v>
      </c>
      <c r="I23" s="17">
        <v>13827</v>
      </c>
      <c r="J23" s="50">
        <v>40993</v>
      </c>
    </row>
    <row r="24" spans="1:10" x14ac:dyDescent="0.2">
      <c r="A24" s="1" t="s">
        <v>555</v>
      </c>
      <c r="B24" s="1" t="s">
        <v>111</v>
      </c>
      <c r="C24" s="9">
        <v>161439267</v>
      </c>
      <c r="D24" s="10">
        <v>9132256131</v>
      </c>
      <c r="E24" s="1" t="s">
        <v>22</v>
      </c>
      <c r="F24" s="24">
        <v>35168</v>
      </c>
      <c r="G24" s="11">
        <f t="shared" ca="1" si="0"/>
        <v>28</v>
      </c>
      <c r="H24" s="12">
        <v>1</v>
      </c>
      <c r="I24" s="17">
        <v>95472</v>
      </c>
      <c r="J24" s="50">
        <v>35168</v>
      </c>
    </row>
    <row r="25" spans="1:10" x14ac:dyDescent="0.2">
      <c r="A25" s="1" t="s">
        <v>506</v>
      </c>
      <c r="B25" s="1" t="s">
        <v>111</v>
      </c>
      <c r="C25" s="9">
        <v>653843221</v>
      </c>
      <c r="D25" s="10">
        <v>9173262077</v>
      </c>
      <c r="E25" s="1" t="s">
        <v>22</v>
      </c>
      <c r="F25" s="24">
        <v>37486</v>
      </c>
      <c r="G25" s="11">
        <f t="shared" ca="1" si="0"/>
        <v>22</v>
      </c>
      <c r="H25" s="12">
        <v>1</v>
      </c>
      <c r="I25" s="17">
        <v>73372</v>
      </c>
      <c r="J25" s="50">
        <v>37486</v>
      </c>
    </row>
    <row r="26" spans="1:10" x14ac:dyDescent="0.2">
      <c r="A26" s="1" t="s">
        <v>131</v>
      </c>
      <c r="B26" s="1" t="s">
        <v>111</v>
      </c>
      <c r="C26" s="9">
        <v>462650472</v>
      </c>
      <c r="D26" s="10">
        <v>5067474942</v>
      </c>
      <c r="E26" s="1" t="s">
        <v>22</v>
      </c>
      <c r="F26" s="24">
        <v>40973</v>
      </c>
      <c r="G26" s="11">
        <f t="shared" ca="1" si="0"/>
        <v>12</v>
      </c>
      <c r="H26" s="12">
        <v>3</v>
      </c>
      <c r="I26" s="17">
        <v>66534</v>
      </c>
      <c r="J26" s="50">
        <v>40973</v>
      </c>
    </row>
    <row r="27" spans="1:10" x14ac:dyDescent="0.2">
      <c r="A27" s="1" t="s">
        <v>205</v>
      </c>
      <c r="B27" s="1" t="s">
        <v>111</v>
      </c>
      <c r="C27" s="9">
        <v>796685092</v>
      </c>
      <c r="D27" s="10">
        <v>2075508095</v>
      </c>
      <c r="E27" s="1" t="s">
        <v>22</v>
      </c>
      <c r="F27" s="24">
        <v>36326</v>
      </c>
      <c r="G27" s="11">
        <f t="shared" ca="1" si="0"/>
        <v>25</v>
      </c>
      <c r="H27" s="12">
        <v>2</v>
      </c>
      <c r="I27" s="17">
        <v>64168</v>
      </c>
      <c r="J27" s="50">
        <v>36326</v>
      </c>
    </row>
    <row r="28" spans="1:10" x14ac:dyDescent="0.2">
      <c r="A28" s="1" t="s">
        <v>587</v>
      </c>
      <c r="B28" s="1" t="s">
        <v>111</v>
      </c>
      <c r="C28" s="9">
        <v>841913875</v>
      </c>
      <c r="D28" s="10">
        <v>5155990200</v>
      </c>
      <c r="E28" s="1" t="s">
        <v>22</v>
      </c>
      <c r="F28" s="24">
        <v>37081</v>
      </c>
      <c r="G28" s="11">
        <f t="shared" ca="1" si="0"/>
        <v>23</v>
      </c>
      <c r="H28" s="12">
        <v>1</v>
      </c>
      <c r="I28" s="17">
        <v>62205</v>
      </c>
      <c r="J28" s="50">
        <v>37081</v>
      </c>
    </row>
    <row r="29" spans="1:10" x14ac:dyDescent="0.2">
      <c r="A29" s="1" t="s">
        <v>629</v>
      </c>
      <c r="B29" s="1" t="s">
        <v>111</v>
      </c>
      <c r="C29" s="9">
        <v>323701315</v>
      </c>
      <c r="D29" s="10">
        <v>6185035104</v>
      </c>
      <c r="E29" s="1" t="s">
        <v>22</v>
      </c>
      <c r="F29" s="24">
        <v>34418</v>
      </c>
      <c r="G29" s="11">
        <f t="shared" ca="1" si="0"/>
        <v>30</v>
      </c>
      <c r="H29" s="12">
        <v>2</v>
      </c>
      <c r="I29" s="17">
        <v>53755</v>
      </c>
      <c r="J29" s="50">
        <v>34418</v>
      </c>
    </row>
    <row r="30" spans="1:10" x14ac:dyDescent="0.2">
      <c r="A30" s="1" t="s">
        <v>336</v>
      </c>
      <c r="B30" s="1" t="s">
        <v>111</v>
      </c>
      <c r="C30" s="9">
        <v>210173249</v>
      </c>
      <c r="D30" s="10">
        <v>7042792063</v>
      </c>
      <c r="E30" s="1" t="s">
        <v>22</v>
      </c>
      <c r="F30" s="24">
        <v>37760</v>
      </c>
      <c r="G30" s="11">
        <f t="shared" ca="1" si="0"/>
        <v>21</v>
      </c>
      <c r="H30" s="12">
        <v>3</v>
      </c>
      <c r="I30" s="17">
        <v>43732</v>
      </c>
      <c r="J30" s="50">
        <v>37760</v>
      </c>
    </row>
    <row r="31" spans="1:10" x14ac:dyDescent="0.2">
      <c r="A31" s="1" t="s">
        <v>110</v>
      </c>
      <c r="B31" s="1" t="s">
        <v>111</v>
      </c>
      <c r="C31" s="9">
        <v>240241467</v>
      </c>
      <c r="D31" s="10">
        <v>9193122603</v>
      </c>
      <c r="E31" s="1" t="s">
        <v>22</v>
      </c>
      <c r="F31" s="24">
        <v>38918</v>
      </c>
      <c r="G31" s="11">
        <f t="shared" ca="1" si="0"/>
        <v>18</v>
      </c>
      <c r="H31" s="12">
        <v>1</v>
      </c>
      <c r="I31" s="17">
        <v>39455</v>
      </c>
      <c r="J31" s="50">
        <v>38918</v>
      </c>
    </row>
    <row r="32" spans="1:10" x14ac:dyDescent="0.2">
      <c r="A32" s="1" t="s">
        <v>514</v>
      </c>
      <c r="B32" s="1" t="s">
        <v>111</v>
      </c>
      <c r="C32" s="9">
        <v>332289257</v>
      </c>
      <c r="D32" s="10">
        <v>3135227751</v>
      </c>
      <c r="E32" s="1" t="s">
        <v>81</v>
      </c>
      <c r="F32" s="24">
        <v>36541</v>
      </c>
      <c r="G32" s="11">
        <f t="shared" ca="1" si="0"/>
        <v>25</v>
      </c>
      <c r="H32" s="12">
        <v>4</v>
      </c>
      <c r="I32" s="17">
        <v>26036</v>
      </c>
      <c r="J32" s="50">
        <v>36541</v>
      </c>
    </row>
    <row r="33" spans="1:10" x14ac:dyDescent="0.2">
      <c r="A33" s="1" t="s">
        <v>461</v>
      </c>
      <c r="B33" s="1" t="s">
        <v>111</v>
      </c>
      <c r="C33" s="9">
        <v>933883118</v>
      </c>
      <c r="D33" s="10">
        <v>6057686976</v>
      </c>
      <c r="E33" s="1" t="s">
        <v>33</v>
      </c>
      <c r="F33" s="24">
        <v>36431</v>
      </c>
      <c r="G33" s="11">
        <f t="shared" ca="1" si="0"/>
        <v>25</v>
      </c>
      <c r="H33" s="12">
        <v>1</v>
      </c>
      <c r="I33" s="17">
        <v>14333</v>
      </c>
      <c r="J33" s="50">
        <v>36431</v>
      </c>
    </row>
    <row r="34" spans="1:10" x14ac:dyDescent="0.2">
      <c r="A34" s="1" t="s">
        <v>617</v>
      </c>
      <c r="B34" s="1" t="s">
        <v>146</v>
      </c>
      <c r="C34" s="9">
        <v>886332647</v>
      </c>
      <c r="D34" s="10">
        <v>7026733291</v>
      </c>
      <c r="E34" s="1" t="s">
        <v>17</v>
      </c>
      <c r="F34" s="24">
        <v>36262</v>
      </c>
      <c r="G34" s="11">
        <f t="shared" ca="1" si="0"/>
        <v>25</v>
      </c>
      <c r="H34" s="12">
        <v>2</v>
      </c>
      <c r="I34" s="17">
        <v>75569</v>
      </c>
      <c r="J34" s="50">
        <v>36262</v>
      </c>
    </row>
    <row r="35" spans="1:10" x14ac:dyDescent="0.2">
      <c r="A35" s="1" t="s">
        <v>491</v>
      </c>
      <c r="B35" s="1" t="s">
        <v>146</v>
      </c>
      <c r="C35" s="9">
        <v>474999228</v>
      </c>
      <c r="D35" s="10">
        <v>4077838614</v>
      </c>
      <c r="E35" s="1" t="s">
        <v>22</v>
      </c>
      <c r="F35" s="24">
        <v>34580</v>
      </c>
      <c r="G35" s="11">
        <f t="shared" ca="1" si="0"/>
        <v>30</v>
      </c>
      <c r="H35" s="12">
        <v>3</v>
      </c>
      <c r="I35" s="17">
        <v>60086</v>
      </c>
      <c r="J35" s="50">
        <v>34580</v>
      </c>
    </row>
    <row r="36" spans="1:10" x14ac:dyDescent="0.2">
      <c r="A36" s="1" t="s">
        <v>357</v>
      </c>
      <c r="B36" s="1" t="s">
        <v>146</v>
      </c>
      <c r="C36" s="9">
        <v>831188207</v>
      </c>
      <c r="D36" s="10">
        <v>8085882405</v>
      </c>
      <c r="E36" s="1" t="s">
        <v>33</v>
      </c>
      <c r="F36" s="24">
        <v>40284</v>
      </c>
      <c r="G36" s="11">
        <f t="shared" ca="1" si="0"/>
        <v>14</v>
      </c>
      <c r="H36" s="12">
        <v>3</v>
      </c>
      <c r="I36" s="17">
        <v>59924</v>
      </c>
      <c r="J36" s="50">
        <v>40284</v>
      </c>
    </row>
    <row r="37" spans="1:10" x14ac:dyDescent="0.2">
      <c r="A37" s="1" t="s">
        <v>145</v>
      </c>
      <c r="B37" s="1" t="s">
        <v>146</v>
      </c>
      <c r="C37" s="9">
        <v>459522265</v>
      </c>
      <c r="D37" s="10">
        <v>6047451745</v>
      </c>
      <c r="E37" s="1" t="s">
        <v>33</v>
      </c>
      <c r="F37" s="24">
        <v>41019</v>
      </c>
      <c r="G37" s="11">
        <f t="shared" ca="1" si="0"/>
        <v>12</v>
      </c>
      <c r="H37" s="12">
        <v>1</v>
      </c>
      <c r="I37" s="17">
        <v>37284</v>
      </c>
      <c r="J37" s="50">
        <v>41019</v>
      </c>
    </row>
    <row r="38" spans="1:10" x14ac:dyDescent="0.2">
      <c r="A38" s="1" t="s">
        <v>526</v>
      </c>
      <c r="B38" s="1" t="s">
        <v>64</v>
      </c>
      <c r="C38" s="9">
        <v>802700229</v>
      </c>
      <c r="D38" s="10">
        <v>4195594427</v>
      </c>
      <c r="E38" s="1" t="s">
        <v>17</v>
      </c>
      <c r="F38" s="24">
        <v>36122</v>
      </c>
      <c r="G38" s="11">
        <f t="shared" ca="1" si="0"/>
        <v>26</v>
      </c>
      <c r="H38" s="12">
        <v>5</v>
      </c>
      <c r="I38" s="17">
        <v>116103</v>
      </c>
      <c r="J38" s="50">
        <v>36122</v>
      </c>
    </row>
    <row r="39" spans="1:10" x14ac:dyDescent="0.2">
      <c r="A39" s="1" t="s">
        <v>476</v>
      </c>
      <c r="B39" s="1" t="s">
        <v>64</v>
      </c>
      <c r="C39" s="9">
        <v>948189231</v>
      </c>
      <c r="D39" s="10">
        <v>7057889149</v>
      </c>
      <c r="E39" s="1" t="s">
        <v>17</v>
      </c>
      <c r="F39" s="24">
        <v>36807</v>
      </c>
      <c r="G39" s="11">
        <f t="shared" ca="1" si="0"/>
        <v>24</v>
      </c>
      <c r="H39" s="12">
        <v>5</v>
      </c>
      <c r="I39" s="17">
        <v>114400</v>
      </c>
      <c r="J39" s="50">
        <v>36807</v>
      </c>
    </row>
    <row r="40" spans="1:10" x14ac:dyDescent="0.2">
      <c r="A40" s="1" t="s">
        <v>207</v>
      </c>
      <c r="B40" s="1" t="s">
        <v>64</v>
      </c>
      <c r="C40" s="9">
        <v>433314045</v>
      </c>
      <c r="D40" s="10">
        <v>2066971022</v>
      </c>
      <c r="E40" s="1" t="s">
        <v>22</v>
      </c>
      <c r="F40" s="24">
        <v>38652</v>
      </c>
      <c r="G40" s="11">
        <f t="shared" ca="1" si="0"/>
        <v>19</v>
      </c>
      <c r="H40" s="12">
        <v>4</v>
      </c>
      <c r="I40" s="17">
        <v>113464</v>
      </c>
      <c r="J40" s="50">
        <v>38652</v>
      </c>
    </row>
    <row r="41" spans="1:10" x14ac:dyDescent="0.2">
      <c r="A41" s="1" t="s">
        <v>528</v>
      </c>
      <c r="B41" s="1" t="s">
        <v>64</v>
      </c>
      <c r="C41" s="9">
        <v>534034571</v>
      </c>
      <c r="D41" s="10">
        <v>7151155509</v>
      </c>
      <c r="E41" s="1" t="s">
        <v>22</v>
      </c>
      <c r="F41" s="24">
        <v>34394</v>
      </c>
      <c r="G41" s="11">
        <f t="shared" ca="1" si="0"/>
        <v>30</v>
      </c>
      <c r="H41" s="12">
        <v>4</v>
      </c>
      <c r="I41" s="17">
        <v>111696</v>
      </c>
      <c r="J41" s="50">
        <v>34394</v>
      </c>
    </row>
    <row r="42" spans="1:10" x14ac:dyDescent="0.2">
      <c r="A42" s="1" t="s">
        <v>286</v>
      </c>
      <c r="B42" s="1" t="s">
        <v>64</v>
      </c>
      <c r="C42" s="9">
        <v>710460589</v>
      </c>
      <c r="D42" s="10">
        <v>2024331646</v>
      </c>
      <c r="E42" s="1" t="s">
        <v>22</v>
      </c>
      <c r="F42" s="24">
        <v>38215</v>
      </c>
      <c r="G42" s="11">
        <f t="shared" ca="1" si="0"/>
        <v>20</v>
      </c>
      <c r="H42" s="12">
        <v>3</v>
      </c>
      <c r="I42" s="17">
        <v>111644</v>
      </c>
      <c r="J42" s="50">
        <v>38215</v>
      </c>
    </row>
    <row r="43" spans="1:10" x14ac:dyDescent="0.2">
      <c r="A43" s="1" t="s">
        <v>417</v>
      </c>
      <c r="B43" s="1" t="s">
        <v>64</v>
      </c>
      <c r="C43" s="9">
        <v>765836666</v>
      </c>
      <c r="D43" s="10">
        <v>6115043141</v>
      </c>
      <c r="E43" s="1" t="s">
        <v>17</v>
      </c>
      <c r="F43" s="24">
        <v>36715</v>
      </c>
      <c r="G43" s="11">
        <f t="shared" ca="1" si="0"/>
        <v>24</v>
      </c>
      <c r="H43" s="12">
        <v>5</v>
      </c>
      <c r="I43" s="17">
        <v>111124</v>
      </c>
      <c r="J43" s="50">
        <v>36715</v>
      </c>
    </row>
    <row r="44" spans="1:10" x14ac:dyDescent="0.2">
      <c r="A44" s="1" t="s">
        <v>290</v>
      </c>
      <c r="B44" s="1" t="s">
        <v>64</v>
      </c>
      <c r="C44" s="9">
        <v>100679868</v>
      </c>
      <c r="D44" s="10">
        <v>4081198851</v>
      </c>
      <c r="E44" s="1" t="s">
        <v>17</v>
      </c>
      <c r="F44" s="24">
        <v>36436</v>
      </c>
      <c r="G44" s="11">
        <f t="shared" ca="1" si="0"/>
        <v>25</v>
      </c>
      <c r="H44" s="12">
        <v>2</v>
      </c>
      <c r="I44" s="17">
        <v>109460</v>
      </c>
      <c r="J44" s="50">
        <v>36436</v>
      </c>
    </row>
    <row r="45" spans="1:10" x14ac:dyDescent="0.2">
      <c r="A45" s="1" t="s">
        <v>301</v>
      </c>
      <c r="B45" s="1" t="s">
        <v>64</v>
      </c>
      <c r="C45" s="9">
        <v>416394493</v>
      </c>
      <c r="D45" s="10">
        <v>2186657361</v>
      </c>
      <c r="E45" s="1" t="s">
        <v>17</v>
      </c>
      <c r="F45" s="24">
        <v>39837</v>
      </c>
      <c r="G45" s="11">
        <f t="shared" ca="1" si="0"/>
        <v>16</v>
      </c>
      <c r="H45" s="12">
        <v>3</v>
      </c>
      <c r="I45" s="17">
        <v>107991</v>
      </c>
      <c r="J45" s="50">
        <v>39837</v>
      </c>
    </row>
    <row r="46" spans="1:10" x14ac:dyDescent="0.2">
      <c r="A46" s="1" t="s">
        <v>694</v>
      </c>
      <c r="B46" s="1" t="s">
        <v>64</v>
      </c>
      <c r="C46" s="9">
        <v>249929042</v>
      </c>
      <c r="D46" s="10">
        <v>2083533906</v>
      </c>
      <c r="E46" s="1" t="s">
        <v>17</v>
      </c>
      <c r="F46" s="24">
        <v>34848</v>
      </c>
      <c r="G46" s="11">
        <f t="shared" ca="1" si="0"/>
        <v>29</v>
      </c>
      <c r="H46" s="12">
        <v>4</v>
      </c>
      <c r="I46" s="17">
        <v>107926</v>
      </c>
      <c r="J46" s="50">
        <v>34848</v>
      </c>
    </row>
    <row r="47" spans="1:10" x14ac:dyDescent="0.2">
      <c r="A47" s="1" t="s">
        <v>321</v>
      </c>
      <c r="B47" s="1" t="s">
        <v>64</v>
      </c>
      <c r="C47" s="9">
        <v>806508287</v>
      </c>
      <c r="D47" s="10">
        <v>2065621928</v>
      </c>
      <c r="E47" s="1" t="s">
        <v>22</v>
      </c>
      <c r="F47" s="24">
        <v>36064</v>
      </c>
      <c r="G47" s="11">
        <f t="shared" ca="1" si="0"/>
        <v>26</v>
      </c>
      <c r="H47" s="12">
        <v>5</v>
      </c>
      <c r="I47" s="17">
        <v>106756</v>
      </c>
      <c r="J47" s="50">
        <v>36064</v>
      </c>
    </row>
    <row r="48" spans="1:10" x14ac:dyDescent="0.2">
      <c r="A48" s="1" t="s">
        <v>337</v>
      </c>
      <c r="B48" s="1" t="s">
        <v>64</v>
      </c>
      <c r="C48" s="9">
        <v>344090854</v>
      </c>
      <c r="D48" s="10">
        <v>4195478716</v>
      </c>
      <c r="E48" s="1" t="s">
        <v>17</v>
      </c>
      <c r="F48" s="24">
        <v>40826</v>
      </c>
      <c r="G48" s="11">
        <f t="shared" ca="1" si="0"/>
        <v>13</v>
      </c>
      <c r="H48" s="12">
        <v>5</v>
      </c>
      <c r="I48" s="17">
        <v>103298</v>
      </c>
      <c r="J48" s="50">
        <v>40826</v>
      </c>
    </row>
    <row r="49" spans="1:10" x14ac:dyDescent="0.2">
      <c r="A49" s="1" t="s">
        <v>549</v>
      </c>
      <c r="B49" s="1" t="s">
        <v>64</v>
      </c>
      <c r="C49" s="9">
        <v>479081328</v>
      </c>
      <c r="D49" s="10">
        <v>5198006736</v>
      </c>
      <c r="E49" s="1" t="s">
        <v>22</v>
      </c>
      <c r="F49" s="24">
        <v>41368</v>
      </c>
      <c r="G49" s="11">
        <f t="shared" ca="1" si="0"/>
        <v>11</v>
      </c>
      <c r="H49" s="12">
        <v>3</v>
      </c>
      <c r="I49" s="17">
        <v>101166</v>
      </c>
      <c r="J49" s="50">
        <v>41368</v>
      </c>
    </row>
    <row r="50" spans="1:10" x14ac:dyDescent="0.2">
      <c r="A50" s="1" t="s">
        <v>114</v>
      </c>
      <c r="B50" s="1" t="s">
        <v>64</v>
      </c>
      <c r="C50" s="9">
        <v>808012612</v>
      </c>
      <c r="D50" s="10">
        <v>5055627374</v>
      </c>
      <c r="E50" s="1" t="s">
        <v>22</v>
      </c>
      <c r="F50" s="24">
        <v>36074</v>
      </c>
      <c r="G50" s="11">
        <f t="shared" ca="1" si="0"/>
        <v>26</v>
      </c>
      <c r="H50" s="12">
        <v>3</v>
      </c>
      <c r="I50" s="17">
        <v>100854</v>
      </c>
      <c r="J50" s="50">
        <v>36074</v>
      </c>
    </row>
    <row r="51" spans="1:10" x14ac:dyDescent="0.2">
      <c r="A51" s="1" t="s">
        <v>149</v>
      </c>
      <c r="B51" s="1" t="s">
        <v>64</v>
      </c>
      <c r="C51" s="9">
        <v>659766304</v>
      </c>
      <c r="D51" s="10">
        <v>5113355152</v>
      </c>
      <c r="E51" s="1" t="s">
        <v>22</v>
      </c>
      <c r="F51" s="24">
        <v>35953</v>
      </c>
      <c r="G51" s="11">
        <f t="shared" ca="1" si="0"/>
        <v>26</v>
      </c>
      <c r="H51" s="12">
        <v>5</v>
      </c>
      <c r="I51" s="17">
        <v>100555</v>
      </c>
      <c r="J51" s="50">
        <v>35953</v>
      </c>
    </row>
    <row r="52" spans="1:10" x14ac:dyDescent="0.2">
      <c r="A52" s="1" t="s">
        <v>138</v>
      </c>
      <c r="B52" s="1" t="s">
        <v>64</v>
      </c>
      <c r="C52" s="9">
        <v>542051793</v>
      </c>
      <c r="D52" s="10">
        <v>2021259179</v>
      </c>
      <c r="E52" s="1" t="s">
        <v>17</v>
      </c>
      <c r="F52" s="24">
        <v>36954</v>
      </c>
      <c r="G52" s="11">
        <f t="shared" ca="1" si="0"/>
        <v>23</v>
      </c>
      <c r="H52" s="12">
        <v>1</v>
      </c>
      <c r="I52" s="17">
        <v>100009</v>
      </c>
      <c r="J52" s="50">
        <v>36954</v>
      </c>
    </row>
    <row r="53" spans="1:10" x14ac:dyDescent="0.2">
      <c r="A53" s="1" t="s">
        <v>432</v>
      </c>
      <c r="B53" s="1" t="s">
        <v>64</v>
      </c>
      <c r="C53" s="9">
        <v>728567428</v>
      </c>
      <c r="D53" s="10">
        <v>7064605984</v>
      </c>
      <c r="E53" s="1" t="s">
        <v>17</v>
      </c>
      <c r="F53" s="24">
        <v>36372</v>
      </c>
      <c r="G53" s="11">
        <f t="shared" ca="1" si="0"/>
        <v>25</v>
      </c>
      <c r="H53" s="12">
        <v>5</v>
      </c>
      <c r="I53" s="17">
        <v>97162</v>
      </c>
      <c r="J53" s="50">
        <v>36372</v>
      </c>
    </row>
    <row r="54" spans="1:10" x14ac:dyDescent="0.2">
      <c r="A54" s="1" t="s">
        <v>392</v>
      </c>
      <c r="B54" s="1" t="s">
        <v>64</v>
      </c>
      <c r="C54" s="9">
        <v>990843236</v>
      </c>
      <c r="D54" s="10">
        <v>7128624601</v>
      </c>
      <c r="E54" s="1" t="s">
        <v>22</v>
      </c>
      <c r="F54" s="24">
        <v>41442</v>
      </c>
      <c r="G54" s="11">
        <f t="shared" ca="1" si="0"/>
        <v>11</v>
      </c>
      <c r="H54" s="12">
        <v>2</v>
      </c>
      <c r="I54" s="17">
        <v>97123</v>
      </c>
      <c r="J54" s="50">
        <v>41442</v>
      </c>
    </row>
    <row r="55" spans="1:10" x14ac:dyDescent="0.2">
      <c r="A55" s="1" t="s">
        <v>137</v>
      </c>
      <c r="B55" s="1" t="s">
        <v>64</v>
      </c>
      <c r="C55" s="9">
        <v>294161481</v>
      </c>
      <c r="D55" s="10">
        <v>7014589262</v>
      </c>
      <c r="E55" s="1" t="s">
        <v>22</v>
      </c>
      <c r="F55" s="24">
        <v>35341</v>
      </c>
      <c r="G55" s="11">
        <f t="shared" ca="1" si="0"/>
        <v>28</v>
      </c>
      <c r="H55" s="12">
        <v>5</v>
      </c>
      <c r="I55" s="17">
        <v>97071</v>
      </c>
      <c r="J55" s="50">
        <v>35341</v>
      </c>
    </row>
    <row r="56" spans="1:10" x14ac:dyDescent="0.2">
      <c r="A56" s="1" t="s">
        <v>256</v>
      </c>
      <c r="B56" s="1" t="s">
        <v>64</v>
      </c>
      <c r="C56" s="9">
        <v>403504590</v>
      </c>
      <c r="D56" s="10">
        <v>2086500529</v>
      </c>
      <c r="E56" s="1" t="s">
        <v>22</v>
      </c>
      <c r="F56" s="24">
        <v>38108</v>
      </c>
      <c r="G56" s="11">
        <f t="shared" ca="1" si="0"/>
        <v>20</v>
      </c>
      <c r="H56" s="12">
        <v>5</v>
      </c>
      <c r="I56" s="17">
        <v>93535</v>
      </c>
      <c r="J56" s="50">
        <v>38108</v>
      </c>
    </row>
    <row r="57" spans="1:10" x14ac:dyDescent="0.2">
      <c r="A57" s="1" t="s">
        <v>440</v>
      </c>
      <c r="B57" s="1" t="s">
        <v>64</v>
      </c>
      <c r="C57" s="9">
        <v>365117800</v>
      </c>
      <c r="D57" s="10">
        <v>7135918708</v>
      </c>
      <c r="E57" s="1" t="s">
        <v>22</v>
      </c>
      <c r="F57" s="24">
        <v>34762</v>
      </c>
      <c r="G57" s="11">
        <f t="shared" ca="1" si="0"/>
        <v>29</v>
      </c>
      <c r="H57" s="12">
        <v>4</v>
      </c>
      <c r="I57" s="17">
        <v>93171</v>
      </c>
      <c r="J57" s="50">
        <v>34762</v>
      </c>
    </row>
    <row r="58" spans="1:10" x14ac:dyDescent="0.2">
      <c r="A58" s="1" t="s">
        <v>710</v>
      </c>
      <c r="B58" s="1" t="s">
        <v>64</v>
      </c>
      <c r="C58" s="9">
        <v>105708355</v>
      </c>
      <c r="D58" s="10">
        <v>4181230519</v>
      </c>
      <c r="E58" s="1" t="s">
        <v>22</v>
      </c>
      <c r="F58" s="24">
        <v>34653</v>
      </c>
      <c r="G58" s="11">
        <f t="shared" ca="1" si="0"/>
        <v>30</v>
      </c>
      <c r="H58" s="12">
        <v>2</v>
      </c>
      <c r="I58" s="17">
        <v>92495</v>
      </c>
      <c r="J58" s="50">
        <v>34653</v>
      </c>
    </row>
    <row r="59" spans="1:10" x14ac:dyDescent="0.2">
      <c r="A59" s="1" t="s">
        <v>359</v>
      </c>
      <c r="B59" s="1" t="s">
        <v>64</v>
      </c>
      <c r="C59" s="9">
        <v>110547055</v>
      </c>
      <c r="D59" s="10">
        <v>2011277028</v>
      </c>
      <c r="E59" s="1" t="s">
        <v>22</v>
      </c>
      <c r="F59" s="24">
        <v>41463</v>
      </c>
      <c r="G59" s="11">
        <f t="shared" ca="1" si="0"/>
        <v>11</v>
      </c>
      <c r="H59" s="12">
        <v>5</v>
      </c>
      <c r="I59" s="17">
        <v>89583</v>
      </c>
      <c r="J59" s="50">
        <v>41463</v>
      </c>
    </row>
    <row r="60" spans="1:10" x14ac:dyDescent="0.2">
      <c r="A60" s="1" t="s">
        <v>421</v>
      </c>
      <c r="B60" s="1" t="s">
        <v>64</v>
      </c>
      <c r="C60" s="9">
        <v>720538680</v>
      </c>
      <c r="D60" s="10">
        <v>7094436681</v>
      </c>
      <c r="E60" s="1" t="s">
        <v>22</v>
      </c>
      <c r="F60" s="24">
        <v>35863</v>
      </c>
      <c r="G60" s="11">
        <f t="shared" ca="1" si="0"/>
        <v>26</v>
      </c>
      <c r="H60" s="12">
        <v>5</v>
      </c>
      <c r="I60" s="17">
        <v>88257</v>
      </c>
      <c r="J60" s="50">
        <v>35863</v>
      </c>
    </row>
    <row r="61" spans="1:10" x14ac:dyDescent="0.2">
      <c r="A61" s="1" t="s">
        <v>250</v>
      </c>
      <c r="B61" s="1" t="s">
        <v>64</v>
      </c>
      <c r="C61" s="9">
        <v>106966222</v>
      </c>
      <c r="D61" s="10">
        <v>5191257896</v>
      </c>
      <c r="E61" s="1" t="s">
        <v>22</v>
      </c>
      <c r="F61" s="24">
        <v>38827</v>
      </c>
      <c r="G61" s="11">
        <f t="shared" ca="1" si="0"/>
        <v>18</v>
      </c>
      <c r="H61" s="12">
        <v>5</v>
      </c>
      <c r="I61" s="17">
        <v>86957</v>
      </c>
      <c r="J61" s="50">
        <v>38827</v>
      </c>
    </row>
    <row r="62" spans="1:10" x14ac:dyDescent="0.2">
      <c r="A62" s="1" t="s">
        <v>748</v>
      </c>
      <c r="B62" s="1" t="s">
        <v>64</v>
      </c>
      <c r="C62" s="9">
        <v>484442635</v>
      </c>
      <c r="D62" s="10">
        <v>4188155179</v>
      </c>
      <c r="E62" s="1" t="s">
        <v>17</v>
      </c>
      <c r="F62" s="24">
        <v>34545</v>
      </c>
      <c r="G62" s="11">
        <f t="shared" ca="1" si="0"/>
        <v>30</v>
      </c>
      <c r="H62" s="12">
        <v>1</v>
      </c>
      <c r="I62" s="17">
        <v>83798</v>
      </c>
      <c r="J62" s="50">
        <v>34545</v>
      </c>
    </row>
    <row r="63" spans="1:10" x14ac:dyDescent="0.2">
      <c r="A63" s="1" t="s">
        <v>85</v>
      </c>
      <c r="B63" s="1" t="s">
        <v>64</v>
      </c>
      <c r="C63" s="9">
        <v>387517948</v>
      </c>
      <c r="D63" s="10">
        <v>2136306545</v>
      </c>
      <c r="E63" s="1" t="s">
        <v>17</v>
      </c>
      <c r="F63" s="24">
        <v>35986</v>
      </c>
      <c r="G63" s="11">
        <f t="shared" ca="1" si="0"/>
        <v>26</v>
      </c>
      <c r="H63" s="12">
        <v>2</v>
      </c>
      <c r="I63" s="17">
        <v>83707</v>
      </c>
      <c r="J63" s="50">
        <v>35986</v>
      </c>
    </row>
    <row r="64" spans="1:10" x14ac:dyDescent="0.2">
      <c r="A64" s="1" t="s">
        <v>722</v>
      </c>
      <c r="B64" s="1" t="s">
        <v>64</v>
      </c>
      <c r="C64" s="9">
        <v>355985853</v>
      </c>
      <c r="D64" s="10">
        <v>5165786813</v>
      </c>
      <c r="E64" s="1" t="s">
        <v>17</v>
      </c>
      <c r="F64" s="24">
        <v>36769</v>
      </c>
      <c r="G64" s="11">
        <f t="shared" ca="1" si="0"/>
        <v>24</v>
      </c>
      <c r="H64" s="12">
        <v>3</v>
      </c>
      <c r="I64" s="17">
        <v>82342</v>
      </c>
      <c r="J64" s="50">
        <v>36769</v>
      </c>
    </row>
    <row r="65" spans="1:10" x14ac:dyDescent="0.2">
      <c r="A65" s="1" t="s">
        <v>395</v>
      </c>
      <c r="B65" s="1" t="s">
        <v>64</v>
      </c>
      <c r="C65" s="9">
        <v>644489557</v>
      </c>
      <c r="D65" s="10">
        <v>4022917217</v>
      </c>
      <c r="E65" s="1" t="s">
        <v>22</v>
      </c>
      <c r="F65" s="24">
        <v>38043</v>
      </c>
      <c r="G65" s="11">
        <f t="shared" ca="1" si="0"/>
        <v>20</v>
      </c>
      <c r="H65" s="12">
        <v>2</v>
      </c>
      <c r="I65" s="17">
        <v>81627</v>
      </c>
      <c r="J65" s="50">
        <v>38043</v>
      </c>
    </row>
    <row r="66" spans="1:10" x14ac:dyDescent="0.2">
      <c r="A66" s="1" t="s">
        <v>78</v>
      </c>
      <c r="B66" s="1" t="s">
        <v>64</v>
      </c>
      <c r="C66" s="9">
        <v>243350742</v>
      </c>
      <c r="D66" s="10">
        <v>7133294956</v>
      </c>
      <c r="E66" s="1" t="s">
        <v>17</v>
      </c>
      <c r="F66" s="24">
        <v>39907</v>
      </c>
      <c r="G66" s="11">
        <f t="shared" ref="G66:G129" ca="1" si="1">DATEDIF(F66,TODAY(),"Y")</f>
        <v>15</v>
      </c>
      <c r="H66" s="12">
        <v>4</v>
      </c>
      <c r="I66" s="17">
        <v>80795</v>
      </c>
      <c r="J66" s="50">
        <v>39907</v>
      </c>
    </row>
    <row r="67" spans="1:10" x14ac:dyDescent="0.2">
      <c r="A67" s="1" t="s">
        <v>669</v>
      </c>
      <c r="B67" s="1" t="s">
        <v>64</v>
      </c>
      <c r="C67" s="9">
        <v>840313216</v>
      </c>
      <c r="D67" s="10">
        <v>9185990139</v>
      </c>
      <c r="E67" s="1" t="s">
        <v>22</v>
      </c>
      <c r="F67" s="24">
        <v>34442</v>
      </c>
      <c r="G67" s="11">
        <f t="shared" ca="1" si="1"/>
        <v>30</v>
      </c>
      <c r="H67" s="12">
        <v>5</v>
      </c>
      <c r="I67" s="17">
        <v>79820</v>
      </c>
      <c r="J67" s="50">
        <v>34442</v>
      </c>
    </row>
    <row r="68" spans="1:10" x14ac:dyDescent="0.2">
      <c r="A68" s="1" t="s">
        <v>396</v>
      </c>
      <c r="B68" s="1" t="s">
        <v>64</v>
      </c>
      <c r="C68" s="9">
        <v>174483231</v>
      </c>
      <c r="D68" s="10">
        <v>4172511732</v>
      </c>
      <c r="E68" s="1" t="s">
        <v>22</v>
      </c>
      <c r="F68" s="24">
        <v>36696</v>
      </c>
      <c r="G68" s="11">
        <f t="shared" ca="1" si="1"/>
        <v>24</v>
      </c>
      <c r="H68" s="12">
        <v>3</v>
      </c>
      <c r="I68" s="17">
        <v>79339</v>
      </c>
      <c r="J68" s="50">
        <v>36696</v>
      </c>
    </row>
    <row r="69" spans="1:10" x14ac:dyDescent="0.2">
      <c r="A69" s="1" t="s">
        <v>544</v>
      </c>
      <c r="B69" s="1" t="s">
        <v>64</v>
      </c>
      <c r="C69" s="9">
        <v>665006199</v>
      </c>
      <c r="D69" s="10">
        <v>4183498222</v>
      </c>
      <c r="E69" s="1" t="s">
        <v>17</v>
      </c>
      <c r="F69" s="24">
        <v>36027</v>
      </c>
      <c r="G69" s="11">
        <f t="shared" ca="1" si="1"/>
        <v>26</v>
      </c>
      <c r="H69" s="12">
        <v>2</v>
      </c>
      <c r="I69" s="17">
        <v>65715</v>
      </c>
      <c r="J69" s="50">
        <v>36027</v>
      </c>
    </row>
    <row r="70" spans="1:10" x14ac:dyDescent="0.2">
      <c r="A70" s="1" t="s">
        <v>720</v>
      </c>
      <c r="B70" s="1" t="s">
        <v>64</v>
      </c>
      <c r="C70" s="9">
        <v>705186668</v>
      </c>
      <c r="D70" s="10">
        <v>3124137278</v>
      </c>
      <c r="E70" s="1" t="s">
        <v>22</v>
      </c>
      <c r="F70" s="24">
        <v>34215</v>
      </c>
      <c r="G70" s="11">
        <f t="shared" ca="1" si="1"/>
        <v>31</v>
      </c>
      <c r="H70" s="12">
        <v>2</v>
      </c>
      <c r="I70" s="17">
        <v>64753</v>
      </c>
      <c r="J70" s="50">
        <v>34215</v>
      </c>
    </row>
    <row r="71" spans="1:10" x14ac:dyDescent="0.2">
      <c r="A71" s="1" t="s">
        <v>615</v>
      </c>
      <c r="B71" s="1" t="s">
        <v>64</v>
      </c>
      <c r="C71" s="9">
        <v>555718765</v>
      </c>
      <c r="D71" s="10">
        <v>9171462245</v>
      </c>
      <c r="E71" s="1" t="s">
        <v>33</v>
      </c>
      <c r="F71" s="24">
        <v>36384</v>
      </c>
      <c r="G71" s="11">
        <f t="shared" ca="1" si="1"/>
        <v>25</v>
      </c>
      <c r="H71" s="12">
        <v>4</v>
      </c>
      <c r="I71" s="17">
        <v>62940</v>
      </c>
      <c r="J71" s="50">
        <v>36384</v>
      </c>
    </row>
    <row r="72" spans="1:10" x14ac:dyDescent="0.2">
      <c r="A72" s="1" t="s">
        <v>656</v>
      </c>
      <c r="B72" s="1" t="s">
        <v>64</v>
      </c>
      <c r="C72" s="9">
        <v>345817459</v>
      </c>
      <c r="D72" s="10">
        <v>8045536623</v>
      </c>
      <c r="E72" s="1" t="s">
        <v>17</v>
      </c>
      <c r="F72" s="24">
        <v>35518</v>
      </c>
      <c r="G72" s="11">
        <f t="shared" ca="1" si="1"/>
        <v>27</v>
      </c>
      <c r="H72" s="12">
        <v>3</v>
      </c>
      <c r="I72" s="17">
        <v>60671</v>
      </c>
      <c r="J72" s="50">
        <v>35518</v>
      </c>
    </row>
    <row r="73" spans="1:10" x14ac:dyDescent="0.2">
      <c r="A73" s="1" t="s">
        <v>112</v>
      </c>
      <c r="B73" s="1" t="s">
        <v>64</v>
      </c>
      <c r="C73" s="9">
        <v>682500261</v>
      </c>
      <c r="D73" s="10">
        <v>5113708610</v>
      </c>
      <c r="E73" s="1" t="s">
        <v>17</v>
      </c>
      <c r="F73" s="24">
        <v>34095</v>
      </c>
      <c r="G73" s="11">
        <f t="shared" ca="1" si="1"/>
        <v>31</v>
      </c>
      <c r="H73" s="12">
        <v>1</v>
      </c>
      <c r="I73" s="17">
        <v>55822</v>
      </c>
      <c r="J73" s="50">
        <v>34095</v>
      </c>
    </row>
    <row r="74" spans="1:10" x14ac:dyDescent="0.2">
      <c r="A74" s="1" t="s">
        <v>682</v>
      </c>
      <c r="B74" s="1" t="s">
        <v>64</v>
      </c>
      <c r="C74" s="9">
        <v>643272576</v>
      </c>
      <c r="D74" s="10">
        <v>6162824485</v>
      </c>
      <c r="E74" s="1" t="s">
        <v>22</v>
      </c>
      <c r="F74" s="24">
        <v>40952</v>
      </c>
      <c r="G74" s="11">
        <f t="shared" ca="1" si="1"/>
        <v>12</v>
      </c>
      <c r="H74" s="12">
        <v>5</v>
      </c>
      <c r="I74" s="17">
        <v>53937</v>
      </c>
      <c r="J74" s="50">
        <v>40952</v>
      </c>
    </row>
    <row r="75" spans="1:10" x14ac:dyDescent="0.2">
      <c r="A75" s="1" t="s">
        <v>654</v>
      </c>
      <c r="B75" s="1" t="s">
        <v>64</v>
      </c>
      <c r="C75" s="9">
        <v>967035612</v>
      </c>
      <c r="D75" s="10">
        <v>2018310129</v>
      </c>
      <c r="E75" s="1" t="s">
        <v>22</v>
      </c>
      <c r="F75" s="24">
        <v>36534</v>
      </c>
      <c r="G75" s="11">
        <f t="shared" ca="1" si="1"/>
        <v>25</v>
      </c>
      <c r="H75" s="12">
        <v>4</v>
      </c>
      <c r="I75" s="17">
        <v>53196</v>
      </c>
      <c r="J75" s="50">
        <v>36534</v>
      </c>
    </row>
    <row r="76" spans="1:10" x14ac:dyDescent="0.2">
      <c r="A76" s="1" t="s">
        <v>374</v>
      </c>
      <c r="B76" s="1" t="s">
        <v>64</v>
      </c>
      <c r="C76" s="9">
        <v>481336564</v>
      </c>
      <c r="D76" s="10">
        <v>9148012440</v>
      </c>
      <c r="E76" s="1" t="s">
        <v>33</v>
      </c>
      <c r="F76" s="24">
        <v>35415</v>
      </c>
      <c r="G76" s="11">
        <f t="shared" ca="1" si="1"/>
        <v>28</v>
      </c>
      <c r="H76" s="12">
        <v>4</v>
      </c>
      <c r="I76" s="17">
        <v>50596</v>
      </c>
      <c r="J76" s="50">
        <v>35415</v>
      </c>
    </row>
    <row r="77" spans="1:10" x14ac:dyDescent="0.2">
      <c r="A77" s="1" t="s">
        <v>745</v>
      </c>
      <c r="B77" s="1" t="s">
        <v>64</v>
      </c>
      <c r="C77" s="9">
        <v>100703382</v>
      </c>
      <c r="D77" s="10">
        <v>7051201242</v>
      </c>
      <c r="E77" s="1" t="s">
        <v>22</v>
      </c>
      <c r="F77" s="24">
        <v>41141</v>
      </c>
      <c r="G77" s="11">
        <f t="shared" ca="1" si="1"/>
        <v>12</v>
      </c>
      <c r="H77" s="12">
        <v>1</v>
      </c>
      <c r="I77" s="17">
        <v>50349</v>
      </c>
      <c r="J77" s="50">
        <v>41141</v>
      </c>
    </row>
    <row r="78" spans="1:10" x14ac:dyDescent="0.2">
      <c r="A78" s="1" t="s">
        <v>339</v>
      </c>
      <c r="B78" s="1" t="s">
        <v>64</v>
      </c>
      <c r="C78" s="9">
        <v>800685434</v>
      </c>
      <c r="D78" s="10">
        <v>8135592950</v>
      </c>
      <c r="E78" s="1" t="s">
        <v>22</v>
      </c>
      <c r="F78" s="24">
        <v>36832</v>
      </c>
      <c r="G78" s="11">
        <f t="shared" ca="1" si="1"/>
        <v>24</v>
      </c>
      <c r="H78" s="12">
        <v>4</v>
      </c>
      <c r="I78" s="17">
        <v>45214</v>
      </c>
      <c r="J78" s="50">
        <v>36832</v>
      </c>
    </row>
    <row r="79" spans="1:10" x14ac:dyDescent="0.2">
      <c r="A79" s="1" t="s">
        <v>427</v>
      </c>
      <c r="B79" s="1" t="s">
        <v>64</v>
      </c>
      <c r="C79" s="9">
        <v>900160539</v>
      </c>
      <c r="D79" s="10">
        <v>4136822349</v>
      </c>
      <c r="E79" s="1" t="s">
        <v>81</v>
      </c>
      <c r="F79" s="24">
        <v>37354</v>
      </c>
      <c r="G79" s="11">
        <f t="shared" ca="1" si="1"/>
        <v>22</v>
      </c>
      <c r="H79" s="12">
        <v>5</v>
      </c>
      <c r="I79" s="17">
        <v>42973</v>
      </c>
      <c r="J79" s="50">
        <v>37354</v>
      </c>
    </row>
    <row r="80" spans="1:10" x14ac:dyDescent="0.2">
      <c r="A80" s="1" t="s">
        <v>479</v>
      </c>
      <c r="B80" s="1" t="s">
        <v>64</v>
      </c>
      <c r="C80" s="9">
        <v>343897392</v>
      </c>
      <c r="D80" s="10">
        <v>9125459665</v>
      </c>
      <c r="E80" s="1" t="s">
        <v>22</v>
      </c>
      <c r="F80" s="24">
        <v>37373</v>
      </c>
      <c r="G80" s="11">
        <f t="shared" ca="1" si="1"/>
        <v>22</v>
      </c>
      <c r="H80" s="12">
        <v>1</v>
      </c>
      <c r="I80" s="17">
        <v>41730</v>
      </c>
      <c r="J80" s="50">
        <v>37373</v>
      </c>
    </row>
    <row r="81" spans="1:10" x14ac:dyDescent="0.2">
      <c r="A81" s="1" t="s">
        <v>665</v>
      </c>
      <c r="B81" s="1" t="s">
        <v>64</v>
      </c>
      <c r="C81" s="9">
        <v>608796012</v>
      </c>
      <c r="D81" s="10">
        <v>7162229885</v>
      </c>
      <c r="E81" s="1" t="s">
        <v>22</v>
      </c>
      <c r="F81" s="24">
        <v>35699</v>
      </c>
      <c r="G81" s="11">
        <f t="shared" ca="1" si="1"/>
        <v>27</v>
      </c>
      <c r="H81" s="12">
        <v>5</v>
      </c>
      <c r="I81" s="17">
        <v>41483</v>
      </c>
      <c r="J81" s="50">
        <v>35699</v>
      </c>
    </row>
    <row r="82" spans="1:10" x14ac:dyDescent="0.2">
      <c r="A82" s="1" t="s">
        <v>435</v>
      </c>
      <c r="B82" s="1" t="s">
        <v>64</v>
      </c>
      <c r="C82" s="9">
        <v>313358310</v>
      </c>
      <c r="D82" s="10">
        <v>5074914916</v>
      </c>
      <c r="E82" s="1" t="s">
        <v>22</v>
      </c>
      <c r="F82" s="24">
        <v>34613</v>
      </c>
      <c r="G82" s="11">
        <f t="shared" ca="1" si="1"/>
        <v>30</v>
      </c>
      <c r="H82" s="12">
        <v>3</v>
      </c>
      <c r="I82" s="17">
        <v>41379</v>
      </c>
      <c r="J82" s="50">
        <v>34613</v>
      </c>
    </row>
    <row r="83" spans="1:10" x14ac:dyDescent="0.2">
      <c r="A83" s="1" t="s">
        <v>594</v>
      </c>
      <c r="B83" s="1" t="s">
        <v>64</v>
      </c>
      <c r="C83" s="9">
        <v>647131956</v>
      </c>
      <c r="D83" s="10">
        <v>6182999652</v>
      </c>
      <c r="E83" s="1" t="s">
        <v>17</v>
      </c>
      <c r="F83" s="24">
        <v>36905</v>
      </c>
      <c r="G83" s="11">
        <f t="shared" ca="1" si="1"/>
        <v>24</v>
      </c>
      <c r="H83" s="12">
        <v>3</v>
      </c>
      <c r="I83" s="17">
        <v>39442</v>
      </c>
      <c r="J83" s="50">
        <v>36905</v>
      </c>
    </row>
    <row r="84" spans="1:10" x14ac:dyDescent="0.2">
      <c r="A84" s="1" t="s">
        <v>595</v>
      </c>
      <c r="B84" s="1" t="s">
        <v>64</v>
      </c>
      <c r="C84" s="9">
        <v>826450563</v>
      </c>
      <c r="D84" s="10">
        <v>5165790921</v>
      </c>
      <c r="E84" s="1" t="s">
        <v>81</v>
      </c>
      <c r="F84" s="24">
        <v>37469</v>
      </c>
      <c r="G84" s="11">
        <f t="shared" ca="1" si="1"/>
        <v>22</v>
      </c>
      <c r="H84" s="12">
        <v>3</v>
      </c>
      <c r="I84" s="17">
        <v>39104</v>
      </c>
      <c r="J84" s="50">
        <v>37469</v>
      </c>
    </row>
    <row r="85" spans="1:10" x14ac:dyDescent="0.2">
      <c r="A85" s="1" t="s">
        <v>628</v>
      </c>
      <c r="B85" s="1" t="s">
        <v>64</v>
      </c>
      <c r="C85" s="9">
        <v>971128623</v>
      </c>
      <c r="D85" s="10">
        <v>3028400261</v>
      </c>
      <c r="E85" s="1" t="s">
        <v>22</v>
      </c>
      <c r="F85" s="24">
        <v>37885</v>
      </c>
      <c r="G85" s="11">
        <f t="shared" ca="1" si="1"/>
        <v>21</v>
      </c>
      <c r="H85" s="12">
        <v>4</v>
      </c>
      <c r="I85" s="17">
        <v>37245</v>
      </c>
      <c r="J85" s="50">
        <v>37885</v>
      </c>
    </row>
    <row r="86" spans="1:10" x14ac:dyDescent="0.2">
      <c r="A86" s="1" t="s">
        <v>63</v>
      </c>
      <c r="B86" s="1" t="s">
        <v>64</v>
      </c>
      <c r="C86" s="9">
        <v>478004556</v>
      </c>
      <c r="D86" s="10">
        <v>7127936742</v>
      </c>
      <c r="E86" s="1" t="s">
        <v>22</v>
      </c>
      <c r="F86" s="24">
        <v>37875</v>
      </c>
      <c r="G86" s="11">
        <f t="shared" ca="1" si="1"/>
        <v>21</v>
      </c>
      <c r="H86" s="12">
        <v>4</v>
      </c>
      <c r="I86" s="17">
        <v>35334</v>
      </c>
      <c r="J86" s="50">
        <v>37875</v>
      </c>
    </row>
    <row r="87" spans="1:10" x14ac:dyDescent="0.2">
      <c r="A87" s="1" t="s">
        <v>702</v>
      </c>
      <c r="B87" s="1" t="s">
        <v>64</v>
      </c>
      <c r="C87" s="9">
        <v>616417564</v>
      </c>
      <c r="D87" s="10">
        <v>5142354572</v>
      </c>
      <c r="E87" s="1" t="s">
        <v>33</v>
      </c>
      <c r="F87" s="24">
        <v>35033</v>
      </c>
      <c r="G87" s="11">
        <f t="shared" ca="1" si="1"/>
        <v>29</v>
      </c>
      <c r="H87" s="12">
        <v>3</v>
      </c>
      <c r="I87" s="17">
        <v>34957</v>
      </c>
      <c r="J87" s="50">
        <v>35033</v>
      </c>
    </row>
    <row r="88" spans="1:10" x14ac:dyDescent="0.2">
      <c r="A88" s="1" t="s">
        <v>113</v>
      </c>
      <c r="B88" s="1" t="s">
        <v>64</v>
      </c>
      <c r="C88" s="9">
        <v>249760737</v>
      </c>
      <c r="D88" s="10">
        <v>2093492633</v>
      </c>
      <c r="E88" s="1" t="s">
        <v>17</v>
      </c>
      <c r="F88" s="24">
        <v>40789</v>
      </c>
      <c r="G88" s="11">
        <f t="shared" ca="1" si="1"/>
        <v>13</v>
      </c>
      <c r="H88" s="12">
        <v>3</v>
      </c>
      <c r="I88" s="17">
        <v>33527</v>
      </c>
      <c r="J88" s="50">
        <v>40789</v>
      </c>
    </row>
    <row r="89" spans="1:10" x14ac:dyDescent="0.2">
      <c r="A89" s="1" t="s">
        <v>446</v>
      </c>
      <c r="B89" s="1" t="s">
        <v>64</v>
      </c>
      <c r="C89" s="9">
        <v>639314672</v>
      </c>
      <c r="D89" s="10">
        <v>7032783818</v>
      </c>
      <c r="E89" s="1" t="s">
        <v>17</v>
      </c>
      <c r="F89" s="24">
        <v>37337</v>
      </c>
      <c r="G89" s="11">
        <f t="shared" ca="1" si="1"/>
        <v>22</v>
      </c>
      <c r="H89" s="12">
        <v>3</v>
      </c>
      <c r="I89" s="17">
        <v>30628</v>
      </c>
      <c r="J89" s="50">
        <v>37337</v>
      </c>
    </row>
    <row r="90" spans="1:10" x14ac:dyDescent="0.2">
      <c r="A90" s="1" t="s">
        <v>690</v>
      </c>
      <c r="B90" s="1" t="s">
        <v>64</v>
      </c>
      <c r="C90" s="9">
        <v>311526157</v>
      </c>
      <c r="D90" s="10">
        <v>6014785979</v>
      </c>
      <c r="E90" s="1" t="s">
        <v>33</v>
      </c>
      <c r="F90" s="24">
        <v>36709</v>
      </c>
      <c r="G90" s="11">
        <f t="shared" ca="1" si="1"/>
        <v>24</v>
      </c>
      <c r="H90" s="12">
        <v>4</v>
      </c>
      <c r="I90" s="17">
        <v>30394</v>
      </c>
      <c r="J90" s="50">
        <v>36709</v>
      </c>
    </row>
    <row r="91" spans="1:10" x14ac:dyDescent="0.2">
      <c r="A91" s="1" t="s">
        <v>619</v>
      </c>
      <c r="B91" s="1" t="s">
        <v>64</v>
      </c>
      <c r="C91" s="9">
        <v>393393249</v>
      </c>
      <c r="D91" s="10">
        <v>4026396432</v>
      </c>
      <c r="E91" s="1" t="s">
        <v>22</v>
      </c>
      <c r="F91" s="24">
        <v>41159</v>
      </c>
      <c r="G91" s="11">
        <f t="shared" ca="1" si="1"/>
        <v>12</v>
      </c>
      <c r="H91" s="12">
        <v>1</v>
      </c>
      <c r="I91" s="17">
        <v>30264</v>
      </c>
      <c r="J91" s="50">
        <v>41159</v>
      </c>
    </row>
    <row r="92" spans="1:10" x14ac:dyDescent="0.2">
      <c r="A92" s="1" t="s">
        <v>115</v>
      </c>
      <c r="B92" s="1" t="s">
        <v>64</v>
      </c>
      <c r="C92" s="9">
        <v>856215418</v>
      </c>
      <c r="D92" s="10">
        <v>4036194175</v>
      </c>
      <c r="E92" s="1" t="s">
        <v>81</v>
      </c>
      <c r="F92" s="24">
        <v>36926</v>
      </c>
      <c r="G92" s="11">
        <f t="shared" ca="1" si="1"/>
        <v>23</v>
      </c>
      <c r="H92" s="12">
        <v>5</v>
      </c>
      <c r="I92" s="17">
        <v>24050</v>
      </c>
      <c r="J92" s="50">
        <v>36926</v>
      </c>
    </row>
    <row r="93" spans="1:10" x14ac:dyDescent="0.2">
      <c r="A93" s="1" t="s">
        <v>452</v>
      </c>
      <c r="B93" s="1" t="s">
        <v>64</v>
      </c>
      <c r="C93" s="9">
        <v>466293520</v>
      </c>
      <c r="D93" s="10">
        <v>2067515181</v>
      </c>
      <c r="E93" s="1" t="s">
        <v>33</v>
      </c>
      <c r="F93" s="24">
        <v>34339</v>
      </c>
      <c r="G93" s="11">
        <f t="shared" ca="1" si="1"/>
        <v>31</v>
      </c>
      <c r="H93" s="12">
        <v>3</v>
      </c>
      <c r="I93" s="17">
        <v>17940</v>
      </c>
      <c r="J93" s="50">
        <v>34339</v>
      </c>
    </row>
    <row r="94" spans="1:10" x14ac:dyDescent="0.2">
      <c r="A94" s="1" t="s">
        <v>742</v>
      </c>
      <c r="B94" s="1" t="s">
        <v>151</v>
      </c>
      <c r="C94" s="9">
        <v>180832423</v>
      </c>
      <c r="D94" s="10">
        <v>5122552565</v>
      </c>
      <c r="E94" s="1" t="s">
        <v>22</v>
      </c>
      <c r="F94" s="24">
        <v>38750</v>
      </c>
      <c r="G94" s="11">
        <f t="shared" ca="1" si="1"/>
        <v>18</v>
      </c>
      <c r="H94" s="12">
        <v>1</v>
      </c>
      <c r="I94" s="17">
        <v>112489</v>
      </c>
      <c r="J94" s="50">
        <v>38750</v>
      </c>
    </row>
    <row r="95" spans="1:10" x14ac:dyDescent="0.2">
      <c r="A95" s="1" t="s">
        <v>150</v>
      </c>
      <c r="B95" s="1" t="s">
        <v>151</v>
      </c>
      <c r="C95" s="9">
        <v>311883362</v>
      </c>
      <c r="D95" s="10">
        <v>7114854867</v>
      </c>
      <c r="E95" s="1" t="s">
        <v>17</v>
      </c>
      <c r="F95" s="24">
        <v>39622</v>
      </c>
      <c r="G95" s="11">
        <f t="shared" ca="1" si="1"/>
        <v>16</v>
      </c>
      <c r="H95" s="12">
        <v>2</v>
      </c>
      <c r="I95" s="17">
        <v>102518</v>
      </c>
      <c r="J95" s="50">
        <v>39622</v>
      </c>
    </row>
    <row r="96" spans="1:10" x14ac:dyDescent="0.2">
      <c r="A96" s="1" t="s">
        <v>605</v>
      </c>
      <c r="B96" s="1" t="s">
        <v>151</v>
      </c>
      <c r="C96" s="9">
        <v>763518183</v>
      </c>
      <c r="D96" s="10">
        <v>3124980674</v>
      </c>
      <c r="E96" s="1" t="s">
        <v>22</v>
      </c>
      <c r="F96" s="24">
        <v>40790</v>
      </c>
      <c r="G96" s="11">
        <f t="shared" ca="1" si="1"/>
        <v>13</v>
      </c>
      <c r="H96" s="12">
        <v>3</v>
      </c>
      <c r="I96" s="17">
        <v>99372</v>
      </c>
      <c r="J96" s="50">
        <v>40790</v>
      </c>
    </row>
    <row r="97" spans="1:10" x14ac:dyDescent="0.2">
      <c r="A97" s="1" t="s">
        <v>477</v>
      </c>
      <c r="B97" s="1" t="s">
        <v>151</v>
      </c>
      <c r="C97" s="9">
        <v>489013842</v>
      </c>
      <c r="D97" s="10">
        <v>6198238755</v>
      </c>
      <c r="E97" s="1" t="s">
        <v>22</v>
      </c>
      <c r="F97" s="24">
        <v>40255</v>
      </c>
      <c r="G97" s="11">
        <f t="shared" ca="1" si="1"/>
        <v>14</v>
      </c>
      <c r="H97" s="12">
        <v>4</v>
      </c>
      <c r="I97" s="17">
        <v>92456</v>
      </c>
      <c r="J97" s="50">
        <v>40255</v>
      </c>
    </row>
    <row r="98" spans="1:10" x14ac:dyDescent="0.2">
      <c r="A98" s="1" t="s">
        <v>376</v>
      </c>
      <c r="B98" s="1" t="s">
        <v>151</v>
      </c>
      <c r="C98" s="9">
        <v>631405285</v>
      </c>
      <c r="D98" s="10">
        <v>2152683895</v>
      </c>
      <c r="E98" s="1" t="s">
        <v>17</v>
      </c>
      <c r="F98" s="24">
        <v>41120</v>
      </c>
      <c r="G98" s="11">
        <f t="shared" ca="1" si="1"/>
        <v>12</v>
      </c>
      <c r="H98" s="12">
        <v>5</v>
      </c>
      <c r="I98" s="17">
        <v>77155</v>
      </c>
      <c r="J98" s="50">
        <v>41120</v>
      </c>
    </row>
    <row r="99" spans="1:10" x14ac:dyDescent="0.2">
      <c r="A99" s="1" t="s">
        <v>591</v>
      </c>
      <c r="B99" s="1" t="s">
        <v>151</v>
      </c>
      <c r="C99" s="9">
        <v>491830893</v>
      </c>
      <c r="D99" s="10">
        <v>9028304204</v>
      </c>
      <c r="E99" s="1" t="s">
        <v>22</v>
      </c>
      <c r="F99" s="24">
        <v>39264</v>
      </c>
      <c r="G99" s="11">
        <f t="shared" ca="1" si="1"/>
        <v>17</v>
      </c>
      <c r="H99" s="12">
        <v>4</v>
      </c>
      <c r="I99" s="17">
        <v>47619</v>
      </c>
      <c r="J99" s="50">
        <v>39264</v>
      </c>
    </row>
    <row r="100" spans="1:10" x14ac:dyDescent="0.2">
      <c r="A100" s="1" t="s">
        <v>279</v>
      </c>
      <c r="B100" s="1" t="s">
        <v>151</v>
      </c>
      <c r="C100" s="9">
        <v>638495756</v>
      </c>
      <c r="D100" s="10">
        <v>2162729524</v>
      </c>
      <c r="E100" s="1" t="s">
        <v>17</v>
      </c>
      <c r="F100" s="24">
        <v>40396</v>
      </c>
      <c r="G100" s="11">
        <f t="shared" ca="1" si="1"/>
        <v>14</v>
      </c>
      <c r="H100" s="12">
        <v>4</v>
      </c>
      <c r="I100" s="17">
        <v>46306</v>
      </c>
      <c r="J100" s="50">
        <v>40396</v>
      </c>
    </row>
    <row r="101" spans="1:10" x14ac:dyDescent="0.2">
      <c r="A101" s="1" t="s">
        <v>681</v>
      </c>
      <c r="B101" s="1" t="s">
        <v>104</v>
      </c>
      <c r="C101" s="9">
        <v>626767704</v>
      </c>
      <c r="D101" s="10">
        <v>7172572783</v>
      </c>
      <c r="E101" s="1" t="s">
        <v>22</v>
      </c>
      <c r="F101" s="24">
        <v>33938</v>
      </c>
      <c r="G101" s="11">
        <f t="shared" ca="1" si="1"/>
        <v>32</v>
      </c>
      <c r="H101" s="12">
        <v>1</v>
      </c>
      <c r="I101" s="17">
        <v>89778</v>
      </c>
      <c r="J101" s="50">
        <v>33938</v>
      </c>
    </row>
    <row r="102" spans="1:10" x14ac:dyDescent="0.2">
      <c r="A102" s="1" t="s">
        <v>103</v>
      </c>
      <c r="B102" s="1" t="s">
        <v>104</v>
      </c>
      <c r="C102" s="9">
        <v>750006979</v>
      </c>
      <c r="D102" s="10">
        <v>3124743535</v>
      </c>
      <c r="E102" s="1" t="s">
        <v>22</v>
      </c>
      <c r="F102" s="24">
        <v>37049</v>
      </c>
      <c r="G102" s="11">
        <f t="shared" ca="1" si="1"/>
        <v>23</v>
      </c>
      <c r="H102" s="12">
        <v>5</v>
      </c>
      <c r="I102" s="17">
        <v>88790</v>
      </c>
      <c r="J102" s="50">
        <v>37049</v>
      </c>
    </row>
    <row r="103" spans="1:10" x14ac:dyDescent="0.2">
      <c r="A103" s="1" t="s">
        <v>282</v>
      </c>
      <c r="B103" s="1" t="s">
        <v>104</v>
      </c>
      <c r="C103" s="9">
        <v>920505896</v>
      </c>
      <c r="D103" s="10">
        <v>9077226463</v>
      </c>
      <c r="E103" s="1" t="s">
        <v>22</v>
      </c>
      <c r="F103" s="24">
        <v>37116</v>
      </c>
      <c r="G103" s="11">
        <f t="shared" ca="1" si="1"/>
        <v>23</v>
      </c>
      <c r="H103" s="12">
        <v>2</v>
      </c>
      <c r="I103" s="17">
        <v>64818</v>
      </c>
      <c r="J103" s="50">
        <v>37116</v>
      </c>
    </row>
    <row r="104" spans="1:10" x14ac:dyDescent="0.2">
      <c r="A104" s="1" t="s">
        <v>408</v>
      </c>
      <c r="B104" s="1" t="s">
        <v>104</v>
      </c>
      <c r="C104" s="9">
        <v>219740602</v>
      </c>
      <c r="D104" s="10">
        <v>3142939413</v>
      </c>
      <c r="E104" s="1" t="s">
        <v>22</v>
      </c>
      <c r="F104" s="24">
        <v>40014</v>
      </c>
      <c r="G104" s="11">
        <f t="shared" ca="1" si="1"/>
        <v>15</v>
      </c>
      <c r="H104" s="12">
        <v>5</v>
      </c>
      <c r="I104" s="17">
        <v>56784</v>
      </c>
      <c r="J104" s="50">
        <v>40014</v>
      </c>
    </row>
    <row r="105" spans="1:10" x14ac:dyDescent="0.2">
      <c r="A105" s="1" t="s">
        <v>686</v>
      </c>
      <c r="B105" s="1" t="s">
        <v>104</v>
      </c>
      <c r="C105" s="9">
        <v>721173550</v>
      </c>
      <c r="D105" s="10">
        <v>7114479196</v>
      </c>
      <c r="E105" s="1" t="s">
        <v>33</v>
      </c>
      <c r="F105" s="24">
        <v>41383</v>
      </c>
      <c r="G105" s="11">
        <f t="shared" ca="1" si="1"/>
        <v>11</v>
      </c>
      <c r="H105" s="12">
        <v>1</v>
      </c>
      <c r="I105" s="17">
        <v>37213</v>
      </c>
      <c r="J105" s="50">
        <v>41383</v>
      </c>
    </row>
    <row r="106" spans="1:10" x14ac:dyDescent="0.2">
      <c r="A106" s="1" t="s">
        <v>369</v>
      </c>
      <c r="B106" s="1" t="s">
        <v>104</v>
      </c>
      <c r="C106" s="9">
        <v>696435191</v>
      </c>
      <c r="D106" s="10">
        <v>8134018412</v>
      </c>
      <c r="E106" s="1" t="s">
        <v>81</v>
      </c>
      <c r="F106" s="24">
        <v>41180</v>
      </c>
      <c r="G106" s="11">
        <f t="shared" ca="1" si="1"/>
        <v>12</v>
      </c>
      <c r="H106" s="12">
        <v>4</v>
      </c>
      <c r="I106" s="17">
        <v>35729</v>
      </c>
      <c r="J106" s="50">
        <v>41180</v>
      </c>
    </row>
    <row r="107" spans="1:10" x14ac:dyDescent="0.2">
      <c r="A107" s="1" t="s">
        <v>203</v>
      </c>
      <c r="B107" s="1" t="s">
        <v>104</v>
      </c>
      <c r="C107" s="9">
        <v>797985708</v>
      </c>
      <c r="D107" s="10">
        <v>9165512521</v>
      </c>
      <c r="E107" s="1" t="s">
        <v>22</v>
      </c>
      <c r="F107" s="24">
        <v>36381</v>
      </c>
      <c r="G107" s="11">
        <f t="shared" ca="1" si="1"/>
        <v>25</v>
      </c>
      <c r="H107" s="12">
        <v>1</v>
      </c>
      <c r="I107" s="17">
        <v>34463</v>
      </c>
      <c r="J107" s="50">
        <v>36381</v>
      </c>
    </row>
    <row r="108" spans="1:10" x14ac:dyDescent="0.2">
      <c r="A108" s="1" t="s">
        <v>728</v>
      </c>
      <c r="B108" s="1" t="s">
        <v>104</v>
      </c>
      <c r="C108" s="9">
        <v>964255290</v>
      </c>
      <c r="D108" s="10">
        <v>4148256039</v>
      </c>
      <c r="E108" s="1" t="s">
        <v>22</v>
      </c>
      <c r="F108" s="24">
        <v>36316</v>
      </c>
      <c r="G108" s="11">
        <f t="shared" ca="1" si="1"/>
        <v>25</v>
      </c>
      <c r="H108" s="12">
        <v>3</v>
      </c>
      <c r="I108" s="17">
        <v>29796</v>
      </c>
      <c r="J108" s="50">
        <v>36316</v>
      </c>
    </row>
    <row r="109" spans="1:10" x14ac:dyDescent="0.2">
      <c r="A109" s="1" t="s">
        <v>370</v>
      </c>
      <c r="B109" s="1" t="s">
        <v>104</v>
      </c>
      <c r="C109" s="9">
        <v>113252240</v>
      </c>
      <c r="D109" s="10">
        <v>8091384592</v>
      </c>
      <c r="E109" s="1" t="s">
        <v>33</v>
      </c>
      <c r="F109" s="24">
        <v>41439</v>
      </c>
      <c r="G109" s="11">
        <f t="shared" ca="1" si="1"/>
        <v>11</v>
      </c>
      <c r="H109" s="12">
        <v>4</v>
      </c>
      <c r="I109" s="17">
        <v>13676</v>
      </c>
      <c r="J109" s="50">
        <v>41439</v>
      </c>
    </row>
    <row r="110" spans="1:10" x14ac:dyDescent="0.2">
      <c r="A110" s="1" t="s">
        <v>646</v>
      </c>
      <c r="B110" s="1" t="s">
        <v>157</v>
      </c>
      <c r="C110" s="9">
        <v>991221095</v>
      </c>
      <c r="D110" s="10">
        <v>8178631557</v>
      </c>
      <c r="E110" s="1" t="s">
        <v>17</v>
      </c>
      <c r="F110" s="24">
        <v>37209</v>
      </c>
      <c r="G110" s="11">
        <f t="shared" ca="1" si="1"/>
        <v>23</v>
      </c>
      <c r="H110" s="12">
        <v>4</v>
      </c>
      <c r="I110" s="17">
        <v>113061</v>
      </c>
      <c r="J110" s="50">
        <v>37209</v>
      </c>
    </row>
    <row r="111" spans="1:10" x14ac:dyDescent="0.2">
      <c r="A111" s="1" t="s">
        <v>449</v>
      </c>
      <c r="B111" s="1" t="s">
        <v>157</v>
      </c>
      <c r="C111" s="9">
        <v>932787692</v>
      </c>
      <c r="D111" s="10">
        <v>4177662359</v>
      </c>
      <c r="E111" s="1" t="s">
        <v>22</v>
      </c>
      <c r="F111" s="24">
        <v>34690</v>
      </c>
      <c r="G111" s="11">
        <f t="shared" ca="1" si="1"/>
        <v>30</v>
      </c>
      <c r="H111" s="12">
        <v>4</v>
      </c>
      <c r="I111" s="17">
        <v>107588</v>
      </c>
      <c r="J111" s="50">
        <v>34690</v>
      </c>
    </row>
    <row r="112" spans="1:10" x14ac:dyDescent="0.2">
      <c r="A112" s="1" t="s">
        <v>156</v>
      </c>
      <c r="B112" s="1" t="s">
        <v>157</v>
      </c>
      <c r="C112" s="9">
        <v>277925508</v>
      </c>
      <c r="D112" s="10">
        <v>4134100997</v>
      </c>
      <c r="E112" s="1" t="s">
        <v>22</v>
      </c>
      <c r="F112" s="24">
        <v>34480</v>
      </c>
      <c r="G112" s="11">
        <f t="shared" ca="1" si="1"/>
        <v>30</v>
      </c>
      <c r="H112" s="12">
        <v>5</v>
      </c>
      <c r="I112" s="17">
        <v>107250</v>
      </c>
      <c r="J112" s="50">
        <v>34480</v>
      </c>
    </row>
    <row r="113" spans="1:10" x14ac:dyDescent="0.2">
      <c r="A113" s="1" t="s">
        <v>445</v>
      </c>
      <c r="B113" s="1" t="s">
        <v>157</v>
      </c>
      <c r="C113" s="9">
        <v>577239513</v>
      </c>
      <c r="D113" s="10">
        <v>7021806180</v>
      </c>
      <c r="E113" s="1" t="s">
        <v>22</v>
      </c>
      <c r="F113" s="24">
        <v>36354</v>
      </c>
      <c r="G113" s="11">
        <f t="shared" ca="1" si="1"/>
        <v>25</v>
      </c>
      <c r="H113" s="12">
        <v>4</v>
      </c>
      <c r="I113" s="17">
        <v>104156</v>
      </c>
      <c r="J113" s="50">
        <v>36354</v>
      </c>
    </row>
    <row r="114" spans="1:10" x14ac:dyDescent="0.2">
      <c r="A114" s="1" t="s">
        <v>431</v>
      </c>
      <c r="B114" s="1" t="s">
        <v>157</v>
      </c>
      <c r="C114" s="9">
        <v>620072502</v>
      </c>
      <c r="D114" s="10">
        <v>5152400511</v>
      </c>
      <c r="E114" s="1" t="s">
        <v>17</v>
      </c>
      <c r="F114" s="24">
        <v>34112</v>
      </c>
      <c r="G114" s="11">
        <f t="shared" ca="1" si="1"/>
        <v>31</v>
      </c>
      <c r="H114" s="12">
        <v>2</v>
      </c>
      <c r="I114" s="17">
        <v>104065</v>
      </c>
      <c r="J114" s="50">
        <v>34112</v>
      </c>
    </row>
    <row r="115" spans="1:10" x14ac:dyDescent="0.2">
      <c r="A115" s="1" t="s">
        <v>601</v>
      </c>
      <c r="B115" s="1" t="s">
        <v>157</v>
      </c>
      <c r="C115" s="9">
        <v>932553359</v>
      </c>
      <c r="D115" s="10">
        <v>3147600603</v>
      </c>
      <c r="E115" s="1" t="s">
        <v>17</v>
      </c>
      <c r="F115" s="24">
        <v>36604</v>
      </c>
      <c r="G115" s="11">
        <f t="shared" ca="1" si="1"/>
        <v>24</v>
      </c>
      <c r="H115" s="12">
        <v>1</v>
      </c>
      <c r="I115" s="17">
        <v>98826</v>
      </c>
      <c r="J115" s="50">
        <v>36604</v>
      </c>
    </row>
    <row r="116" spans="1:10" x14ac:dyDescent="0.2">
      <c r="A116" s="1" t="s">
        <v>554</v>
      </c>
      <c r="B116" s="1" t="s">
        <v>157</v>
      </c>
      <c r="C116" s="9">
        <v>353414196</v>
      </c>
      <c r="D116" s="10">
        <v>9135777345</v>
      </c>
      <c r="E116" s="1" t="s">
        <v>17</v>
      </c>
      <c r="F116" s="24">
        <v>38534</v>
      </c>
      <c r="G116" s="11">
        <f t="shared" ca="1" si="1"/>
        <v>19</v>
      </c>
      <c r="H116" s="12">
        <v>2</v>
      </c>
      <c r="I116" s="17">
        <v>95407</v>
      </c>
      <c r="J116" s="50">
        <v>38534</v>
      </c>
    </row>
    <row r="117" spans="1:10" x14ac:dyDescent="0.2">
      <c r="A117" s="1" t="s">
        <v>388</v>
      </c>
      <c r="B117" s="1" t="s">
        <v>157</v>
      </c>
      <c r="C117" s="9">
        <v>393051351</v>
      </c>
      <c r="D117" s="10">
        <v>3056345909</v>
      </c>
      <c r="E117" s="1" t="s">
        <v>17</v>
      </c>
      <c r="F117" s="24">
        <v>36826</v>
      </c>
      <c r="G117" s="11">
        <f t="shared" ca="1" si="1"/>
        <v>24</v>
      </c>
      <c r="H117" s="12">
        <v>3</v>
      </c>
      <c r="I117" s="17">
        <v>83811</v>
      </c>
      <c r="J117" s="50">
        <v>36826</v>
      </c>
    </row>
    <row r="118" spans="1:10" x14ac:dyDescent="0.2">
      <c r="A118" s="1" t="s">
        <v>330</v>
      </c>
      <c r="B118" s="1" t="s">
        <v>157</v>
      </c>
      <c r="C118" s="9">
        <v>494754997</v>
      </c>
      <c r="D118" s="10">
        <v>6158317543</v>
      </c>
      <c r="E118" s="1" t="s">
        <v>22</v>
      </c>
      <c r="F118" s="24">
        <v>37136</v>
      </c>
      <c r="G118" s="11">
        <f t="shared" ca="1" si="1"/>
        <v>23</v>
      </c>
      <c r="H118" s="12">
        <v>1</v>
      </c>
      <c r="I118" s="17">
        <v>79729</v>
      </c>
      <c r="J118" s="50">
        <v>37136</v>
      </c>
    </row>
    <row r="119" spans="1:10" x14ac:dyDescent="0.2">
      <c r="A119" s="1" t="s">
        <v>327</v>
      </c>
      <c r="B119" s="1" t="s">
        <v>157</v>
      </c>
      <c r="C119" s="9">
        <v>282972141</v>
      </c>
      <c r="D119" s="10">
        <v>2184248455</v>
      </c>
      <c r="E119" s="1" t="s">
        <v>22</v>
      </c>
      <c r="F119" s="24">
        <v>37980</v>
      </c>
      <c r="G119" s="11">
        <f t="shared" ca="1" si="1"/>
        <v>21</v>
      </c>
      <c r="H119" s="12">
        <v>4</v>
      </c>
      <c r="I119" s="17">
        <v>79495</v>
      </c>
      <c r="J119" s="50">
        <v>37980</v>
      </c>
    </row>
    <row r="120" spans="1:10" x14ac:dyDescent="0.2">
      <c r="A120" s="1" t="s">
        <v>459</v>
      </c>
      <c r="B120" s="1" t="s">
        <v>157</v>
      </c>
      <c r="C120" s="9">
        <v>148899089</v>
      </c>
      <c r="D120" s="10">
        <v>9151919147</v>
      </c>
      <c r="E120" s="1" t="s">
        <v>22</v>
      </c>
      <c r="F120" s="24">
        <v>36944</v>
      </c>
      <c r="G120" s="11">
        <f t="shared" ca="1" si="1"/>
        <v>23</v>
      </c>
      <c r="H120" s="12">
        <v>1</v>
      </c>
      <c r="I120" s="17">
        <v>65143</v>
      </c>
      <c r="J120" s="50">
        <v>36944</v>
      </c>
    </row>
    <row r="121" spans="1:10" x14ac:dyDescent="0.2">
      <c r="A121" s="1" t="s">
        <v>550</v>
      </c>
      <c r="B121" s="1" t="s">
        <v>157</v>
      </c>
      <c r="C121" s="9">
        <v>257249459</v>
      </c>
      <c r="D121" s="10">
        <v>6063631883</v>
      </c>
      <c r="E121" s="1" t="s">
        <v>33</v>
      </c>
      <c r="F121" s="24">
        <v>37224</v>
      </c>
      <c r="G121" s="11">
        <f t="shared" ca="1" si="1"/>
        <v>23</v>
      </c>
      <c r="H121" s="12">
        <v>1</v>
      </c>
      <c r="I121" s="17">
        <v>55777</v>
      </c>
      <c r="J121" s="50">
        <v>37224</v>
      </c>
    </row>
    <row r="122" spans="1:10" x14ac:dyDescent="0.2">
      <c r="A122" s="1" t="s">
        <v>707</v>
      </c>
      <c r="B122" s="1" t="s">
        <v>157</v>
      </c>
      <c r="C122" s="9">
        <v>529609767</v>
      </c>
      <c r="D122" s="10">
        <v>8088922252</v>
      </c>
      <c r="E122" s="1" t="s">
        <v>22</v>
      </c>
      <c r="F122" s="24">
        <v>38479</v>
      </c>
      <c r="G122" s="11">
        <f t="shared" ca="1" si="1"/>
        <v>19</v>
      </c>
      <c r="H122" s="12">
        <v>1</v>
      </c>
      <c r="I122" s="17">
        <v>51662</v>
      </c>
      <c r="J122" s="50">
        <v>38479</v>
      </c>
    </row>
    <row r="123" spans="1:10" x14ac:dyDescent="0.2">
      <c r="A123" s="1" t="s">
        <v>292</v>
      </c>
      <c r="B123" s="1" t="s">
        <v>157</v>
      </c>
      <c r="C123" s="9">
        <v>213584397</v>
      </c>
      <c r="D123" s="10">
        <v>5182872439</v>
      </c>
      <c r="E123" s="1" t="s">
        <v>22</v>
      </c>
      <c r="F123" s="24">
        <v>34314</v>
      </c>
      <c r="G123" s="11">
        <f t="shared" ca="1" si="1"/>
        <v>31</v>
      </c>
      <c r="H123" s="12">
        <v>5</v>
      </c>
      <c r="I123" s="17">
        <v>48906</v>
      </c>
      <c r="J123" s="50">
        <v>34314</v>
      </c>
    </row>
    <row r="124" spans="1:10" x14ac:dyDescent="0.2">
      <c r="A124" s="1" t="s">
        <v>560</v>
      </c>
      <c r="B124" s="1" t="s">
        <v>157</v>
      </c>
      <c r="C124" s="9">
        <v>648911225</v>
      </c>
      <c r="D124" s="10">
        <v>7093123940</v>
      </c>
      <c r="E124" s="1" t="s">
        <v>17</v>
      </c>
      <c r="F124" s="24">
        <v>36017</v>
      </c>
      <c r="G124" s="11">
        <f t="shared" ca="1" si="1"/>
        <v>26</v>
      </c>
      <c r="H124" s="12">
        <v>2</v>
      </c>
      <c r="I124" s="17">
        <v>45838</v>
      </c>
      <c r="J124" s="50">
        <v>36017</v>
      </c>
    </row>
    <row r="125" spans="1:10" x14ac:dyDescent="0.2">
      <c r="A125" s="1" t="s">
        <v>233</v>
      </c>
      <c r="B125" s="1" t="s">
        <v>157</v>
      </c>
      <c r="C125" s="9">
        <v>738946277</v>
      </c>
      <c r="D125" s="10">
        <v>2054680033</v>
      </c>
      <c r="E125" s="1" t="s">
        <v>17</v>
      </c>
      <c r="F125" s="24">
        <v>37043</v>
      </c>
      <c r="G125" s="11">
        <f t="shared" ca="1" si="1"/>
        <v>23</v>
      </c>
      <c r="H125" s="12">
        <v>5</v>
      </c>
      <c r="I125" s="17">
        <v>42822</v>
      </c>
      <c r="J125" s="50">
        <v>37043</v>
      </c>
    </row>
    <row r="126" spans="1:10" x14ac:dyDescent="0.2">
      <c r="A126" s="1" t="s">
        <v>668</v>
      </c>
      <c r="B126" s="1" t="s">
        <v>157</v>
      </c>
      <c r="C126" s="9">
        <v>183135788</v>
      </c>
      <c r="D126" s="10">
        <v>7092581491</v>
      </c>
      <c r="E126" s="1" t="s">
        <v>33</v>
      </c>
      <c r="F126" s="24">
        <v>34861</v>
      </c>
      <c r="G126" s="11">
        <f t="shared" ca="1" si="1"/>
        <v>29</v>
      </c>
      <c r="H126" s="12">
        <v>4</v>
      </c>
      <c r="I126" s="17">
        <v>24252</v>
      </c>
      <c r="J126" s="50">
        <v>34861</v>
      </c>
    </row>
    <row r="127" spans="1:10" x14ac:dyDescent="0.2">
      <c r="A127" s="1" t="s">
        <v>603</v>
      </c>
      <c r="B127" s="1" t="s">
        <v>157</v>
      </c>
      <c r="C127" s="9">
        <v>865073824</v>
      </c>
      <c r="D127" s="10">
        <v>9166335284</v>
      </c>
      <c r="E127" s="1" t="s">
        <v>81</v>
      </c>
      <c r="F127" s="24">
        <v>34050</v>
      </c>
      <c r="G127" s="11">
        <f t="shared" ca="1" si="1"/>
        <v>31</v>
      </c>
      <c r="H127" s="12">
        <v>5</v>
      </c>
      <c r="I127" s="17">
        <v>19126</v>
      </c>
      <c r="J127" s="50">
        <v>34050</v>
      </c>
    </row>
    <row r="128" spans="1:10" x14ac:dyDescent="0.2">
      <c r="A128" s="1" t="s">
        <v>737</v>
      </c>
      <c r="B128" s="1" t="s">
        <v>157</v>
      </c>
      <c r="C128" s="9">
        <v>742946482</v>
      </c>
      <c r="D128" s="10">
        <v>2024713628</v>
      </c>
      <c r="E128" s="1" t="s">
        <v>81</v>
      </c>
      <c r="F128" s="24">
        <v>36540</v>
      </c>
      <c r="G128" s="11">
        <f t="shared" ca="1" si="1"/>
        <v>25</v>
      </c>
      <c r="H128" s="12">
        <v>2</v>
      </c>
      <c r="I128" s="17">
        <v>16479</v>
      </c>
      <c r="J128" s="50">
        <v>36540</v>
      </c>
    </row>
    <row r="129" spans="1:10" x14ac:dyDescent="0.2">
      <c r="A129" s="1" t="s">
        <v>708</v>
      </c>
      <c r="B129" s="1" t="s">
        <v>43</v>
      </c>
      <c r="C129" s="9">
        <v>880747384</v>
      </c>
      <c r="D129" s="10">
        <v>7086681578</v>
      </c>
      <c r="E129" s="1" t="s">
        <v>22</v>
      </c>
      <c r="F129" s="24">
        <v>41267</v>
      </c>
      <c r="G129" s="11">
        <f t="shared" ca="1" si="1"/>
        <v>12</v>
      </c>
      <c r="H129" s="12">
        <v>2</v>
      </c>
      <c r="I129" s="17">
        <v>102895</v>
      </c>
      <c r="J129" s="50">
        <v>41267</v>
      </c>
    </row>
    <row r="130" spans="1:10" x14ac:dyDescent="0.2">
      <c r="A130" s="1" t="s">
        <v>627</v>
      </c>
      <c r="B130" s="1" t="s">
        <v>43</v>
      </c>
      <c r="C130" s="9">
        <v>750581894</v>
      </c>
      <c r="D130" s="10">
        <v>9174744493</v>
      </c>
      <c r="E130" s="1" t="s">
        <v>22</v>
      </c>
      <c r="F130" s="24">
        <v>37436</v>
      </c>
      <c r="G130" s="11">
        <f t="shared" ref="G130:G193" ca="1" si="2">DATEDIF(F130,TODAY(),"Y")</f>
        <v>22</v>
      </c>
      <c r="H130" s="12">
        <v>5</v>
      </c>
      <c r="I130" s="17">
        <v>97578</v>
      </c>
      <c r="J130" s="50">
        <v>37436</v>
      </c>
    </row>
    <row r="131" spans="1:10" x14ac:dyDescent="0.2">
      <c r="A131" s="1" t="s">
        <v>721</v>
      </c>
      <c r="B131" s="1" t="s">
        <v>43</v>
      </c>
      <c r="C131" s="9">
        <v>783624212</v>
      </c>
      <c r="D131" s="10">
        <v>2165250630</v>
      </c>
      <c r="E131" s="1" t="s">
        <v>22</v>
      </c>
      <c r="F131" s="24">
        <v>36196</v>
      </c>
      <c r="G131" s="11">
        <f t="shared" ca="1" si="2"/>
        <v>25</v>
      </c>
      <c r="H131" s="12">
        <v>2</v>
      </c>
      <c r="I131" s="17">
        <v>86762</v>
      </c>
      <c r="J131" s="50">
        <v>36196</v>
      </c>
    </row>
    <row r="132" spans="1:10" x14ac:dyDescent="0.2">
      <c r="A132" s="1" t="s">
        <v>42</v>
      </c>
      <c r="B132" s="1" t="s">
        <v>43</v>
      </c>
      <c r="C132" s="9">
        <v>767961463</v>
      </c>
      <c r="D132" s="10">
        <v>9015057530</v>
      </c>
      <c r="E132" s="1" t="s">
        <v>17</v>
      </c>
      <c r="F132" s="24">
        <v>39394</v>
      </c>
      <c r="G132" s="11">
        <f t="shared" ca="1" si="2"/>
        <v>17</v>
      </c>
      <c r="H132" s="12">
        <v>2</v>
      </c>
      <c r="I132" s="17">
        <v>78078</v>
      </c>
      <c r="J132" s="50">
        <v>39394</v>
      </c>
    </row>
    <row r="133" spans="1:10" x14ac:dyDescent="0.2">
      <c r="A133" s="1" t="s">
        <v>608</v>
      </c>
      <c r="B133" s="1" t="s">
        <v>43</v>
      </c>
      <c r="C133" s="9">
        <v>276873359</v>
      </c>
      <c r="D133" s="10">
        <v>4144072342</v>
      </c>
      <c r="E133" s="1" t="s">
        <v>22</v>
      </c>
      <c r="F133" s="24">
        <v>39454</v>
      </c>
      <c r="G133" s="11">
        <f t="shared" ca="1" si="2"/>
        <v>17</v>
      </c>
      <c r="H133" s="12">
        <v>5</v>
      </c>
      <c r="I133" s="17">
        <v>61555</v>
      </c>
      <c r="J133" s="50">
        <v>39454</v>
      </c>
    </row>
    <row r="134" spans="1:10" x14ac:dyDescent="0.2">
      <c r="A134" s="1" t="s">
        <v>189</v>
      </c>
      <c r="B134" s="1" t="s">
        <v>74</v>
      </c>
      <c r="C134" s="9">
        <v>460412180</v>
      </c>
      <c r="D134" s="10">
        <v>5157461285</v>
      </c>
      <c r="E134" s="1" t="s">
        <v>22</v>
      </c>
      <c r="F134" s="24">
        <v>36949</v>
      </c>
      <c r="G134" s="11">
        <f t="shared" ca="1" si="2"/>
        <v>23</v>
      </c>
      <c r="H134" s="12">
        <v>2</v>
      </c>
      <c r="I134" s="17">
        <v>107120</v>
      </c>
      <c r="J134" s="50">
        <v>36949</v>
      </c>
    </row>
    <row r="135" spans="1:10" x14ac:dyDescent="0.2">
      <c r="A135" s="1" t="s">
        <v>578</v>
      </c>
      <c r="B135" s="1" t="s">
        <v>74</v>
      </c>
      <c r="C135" s="9">
        <v>853268713</v>
      </c>
      <c r="D135" s="10">
        <v>2046114005</v>
      </c>
      <c r="E135" s="1" t="s">
        <v>17</v>
      </c>
      <c r="F135" s="24">
        <v>34816</v>
      </c>
      <c r="G135" s="11">
        <f t="shared" ca="1" si="2"/>
        <v>29</v>
      </c>
      <c r="H135" s="12">
        <v>5</v>
      </c>
      <c r="I135" s="17">
        <v>105391</v>
      </c>
      <c r="J135" s="50">
        <v>34816</v>
      </c>
    </row>
    <row r="136" spans="1:10" x14ac:dyDescent="0.2">
      <c r="A136" s="1" t="s">
        <v>280</v>
      </c>
      <c r="B136" s="1" t="s">
        <v>74</v>
      </c>
      <c r="C136" s="9">
        <v>975603308</v>
      </c>
      <c r="D136" s="10">
        <v>3098413896</v>
      </c>
      <c r="E136" s="1" t="s">
        <v>22</v>
      </c>
      <c r="F136" s="24">
        <v>37510</v>
      </c>
      <c r="G136" s="11">
        <f t="shared" ca="1" si="2"/>
        <v>22</v>
      </c>
      <c r="H136" s="12">
        <v>2</v>
      </c>
      <c r="I136" s="17">
        <v>92794</v>
      </c>
      <c r="J136" s="50">
        <v>37510</v>
      </c>
    </row>
    <row r="137" spans="1:10" x14ac:dyDescent="0.2">
      <c r="A137" s="1" t="s">
        <v>200</v>
      </c>
      <c r="B137" s="1" t="s">
        <v>74</v>
      </c>
      <c r="C137" s="9">
        <v>117896630</v>
      </c>
      <c r="D137" s="10">
        <v>9061535362</v>
      </c>
      <c r="E137" s="1" t="s">
        <v>22</v>
      </c>
      <c r="F137" s="24">
        <v>36856</v>
      </c>
      <c r="G137" s="11">
        <f t="shared" ca="1" si="2"/>
        <v>24</v>
      </c>
      <c r="H137" s="12">
        <v>5</v>
      </c>
      <c r="I137" s="17">
        <v>92313</v>
      </c>
      <c r="J137" s="50">
        <v>36856</v>
      </c>
    </row>
    <row r="138" spans="1:10" x14ac:dyDescent="0.2">
      <c r="A138" s="1" t="s">
        <v>727</v>
      </c>
      <c r="B138" s="1" t="s">
        <v>74</v>
      </c>
      <c r="C138" s="9">
        <v>991764142</v>
      </c>
      <c r="D138" s="10">
        <v>8138721709</v>
      </c>
      <c r="E138" s="1" t="s">
        <v>22</v>
      </c>
      <c r="F138" s="24">
        <v>39002</v>
      </c>
      <c r="G138" s="11">
        <f t="shared" ca="1" si="2"/>
        <v>18</v>
      </c>
      <c r="H138" s="12">
        <v>1</v>
      </c>
      <c r="I138" s="17">
        <v>85228</v>
      </c>
      <c r="J138" s="50">
        <v>39002</v>
      </c>
    </row>
    <row r="139" spans="1:10" x14ac:dyDescent="0.2">
      <c r="A139" s="1" t="s">
        <v>650</v>
      </c>
      <c r="B139" s="1" t="s">
        <v>74</v>
      </c>
      <c r="C139" s="9">
        <v>687006783</v>
      </c>
      <c r="D139" s="10">
        <v>3093848677</v>
      </c>
      <c r="E139" s="1" t="s">
        <v>17</v>
      </c>
      <c r="F139" s="24">
        <v>35028</v>
      </c>
      <c r="G139" s="11">
        <f t="shared" ca="1" si="2"/>
        <v>29</v>
      </c>
      <c r="H139" s="12">
        <v>2</v>
      </c>
      <c r="I139" s="17">
        <v>83317</v>
      </c>
      <c r="J139" s="50">
        <v>35028</v>
      </c>
    </row>
    <row r="140" spans="1:10" x14ac:dyDescent="0.2">
      <c r="A140" s="1" t="s">
        <v>73</v>
      </c>
      <c r="B140" s="1" t="s">
        <v>74</v>
      </c>
      <c r="C140" s="9">
        <v>622274162</v>
      </c>
      <c r="D140" s="10">
        <v>8052474315</v>
      </c>
      <c r="E140" s="1" t="s">
        <v>22</v>
      </c>
      <c r="F140" s="24">
        <v>36120</v>
      </c>
      <c r="G140" s="11">
        <f t="shared" ca="1" si="2"/>
        <v>26</v>
      </c>
      <c r="H140" s="12">
        <v>5</v>
      </c>
      <c r="I140" s="17">
        <v>82914</v>
      </c>
      <c r="J140" s="50">
        <v>36120</v>
      </c>
    </row>
    <row r="141" spans="1:10" x14ac:dyDescent="0.2">
      <c r="A141" s="1" t="s">
        <v>135</v>
      </c>
      <c r="B141" s="1" t="s">
        <v>74</v>
      </c>
      <c r="C141" s="9">
        <v>923665952</v>
      </c>
      <c r="D141" s="10">
        <v>8177288082</v>
      </c>
      <c r="E141" s="1" t="s">
        <v>17</v>
      </c>
      <c r="F141" s="24">
        <v>40921</v>
      </c>
      <c r="G141" s="11">
        <f t="shared" ca="1" si="2"/>
        <v>13</v>
      </c>
      <c r="H141" s="12">
        <v>4</v>
      </c>
      <c r="I141" s="17">
        <v>73996</v>
      </c>
      <c r="J141" s="50">
        <v>40921</v>
      </c>
    </row>
    <row r="142" spans="1:10" x14ac:dyDescent="0.2">
      <c r="A142" s="1" t="s">
        <v>97</v>
      </c>
      <c r="B142" s="1" t="s">
        <v>74</v>
      </c>
      <c r="C142" s="9">
        <v>452692136</v>
      </c>
      <c r="D142" s="10">
        <v>3037345539</v>
      </c>
      <c r="E142" s="1" t="s">
        <v>22</v>
      </c>
      <c r="F142" s="24">
        <v>36472</v>
      </c>
      <c r="G142" s="11">
        <f t="shared" ca="1" si="2"/>
        <v>25</v>
      </c>
      <c r="H142" s="12">
        <v>1</v>
      </c>
      <c r="I142" s="17">
        <v>73931</v>
      </c>
      <c r="J142" s="50">
        <v>36472</v>
      </c>
    </row>
    <row r="143" spans="1:10" x14ac:dyDescent="0.2">
      <c r="A143" s="1" t="s">
        <v>704</v>
      </c>
      <c r="B143" s="1" t="s">
        <v>74</v>
      </c>
      <c r="C143" s="9">
        <v>667745362</v>
      </c>
      <c r="D143" s="10">
        <v>3113547588</v>
      </c>
      <c r="E143" s="1" t="s">
        <v>17</v>
      </c>
      <c r="F143" s="24">
        <v>41103</v>
      </c>
      <c r="G143" s="11">
        <f t="shared" ca="1" si="2"/>
        <v>12</v>
      </c>
      <c r="H143" s="12">
        <v>4</v>
      </c>
      <c r="I143" s="17">
        <v>59579</v>
      </c>
      <c r="J143" s="50">
        <v>41103</v>
      </c>
    </row>
    <row r="144" spans="1:10" x14ac:dyDescent="0.2">
      <c r="A144" s="1" t="s">
        <v>212</v>
      </c>
      <c r="B144" s="1" t="s">
        <v>74</v>
      </c>
      <c r="C144" s="9">
        <v>781913936</v>
      </c>
      <c r="D144" s="10">
        <v>8015230846</v>
      </c>
      <c r="E144" s="1" t="s">
        <v>17</v>
      </c>
      <c r="F144" s="24">
        <v>41126</v>
      </c>
      <c r="G144" s="11">
        <f t="shared" ca="1" si="2"/>
        <v>12</v>
      </c>
      <c r="H144" s="12">
        <v>3</v>
      </c>
      <c r="I144" s="17">
        <v>59423</v>
      </c>
      <c r="J144" s="50">
        <v>41126</v>
      </c>
    </row>
    <row r="145" spans="1:10" x14ac:dyDescent="0.2">
      <c r="A145" s="1" t="s">
        <v>226</v>
      </c>
      <c r="B145" s="1" t="s">
        <v>74</v>
      </c>
      <c r="C145" s="9">
        <v>512405919</v>
      </c>
      <c r="D145" s="10">
        <v>4128651774</v>
      </c>
      <c r="E145" s="1" t="s">
        <v>17</v>
      </c>
      <c r="F145" s="24">
        <v>35628</v>
      </c>
      <c r="G145" s="11">
        <f t="shared" ca="1" si="2"/>
        <v>27</v>
      </c>
      <c r="H145" s="12">
        <v>5</v>
      </c>
      <c r="I145" s="17">
        <v>58552</v>
      </c>
      <c r="J145" s="50">
        <v>35628</v>
      </c>
    </row>
    <row r="146" spans="1:10" x14ac:dyDescent="0.2">
      <c r="A146" s="1" t="s">
        <v>191</v>
      </c>
      <c r="B146" s="1" t="s">
        <v>74</v>
      </c>
      <c r="C146" s="9">
        <v>317844971</v>
      </c>
      <c r="D146" s="10">
        <v>9064989537</v>
      </c>
      <c r="E146" s="1" t="s">
        <v>22</v>
      </c>
      <c r="F146" s="24">
        <v>41337</v>
      </c>
      <c r="G146" s="11">
        <f t="shared" ca="1" si="2"/>
        <v>11</v>
      </c>
      <c r="H146" s="12">
        <v>3</v>
      </c>
      <c r="I146" s="17">
        <v>55406</v>
      </c>
      <c r="J146" s="50">
        <v>41337</v>
      </c>
    </row>
    <row r="147" spans="1:10" x14ac:dyDescent="0.2">
      <c r="A147" s="1" t="s">
        <v>519</v>
      </c>
      <c r="B147" s="1" t="s">
        <v>74</v>
      </c>
      <c r="C147" s="9">
        <v>356242235</v>
      </c>
      <c r="D147" s="10">
        <v>7155790872</v>
      </c>
      <c r="E147" s="1" t="s">
        <v>22</v>
      </c>
      <c r="F147" s="24">
        <v>38155</v>
      </c>
      <c r="G147" s="11">
        <f t="shared" ca="1" si="2"/>
        <v>20</v>
      </c>
      <c r="H147" s="12">
        <v>3</v>
      </c>
      <c r="I147" s="17">
        <v>55224</v>
      </c>
      <c r="J147" s="50">
        <v>38155</v>
      </c>
    </row>
    <row r="148" spans="1:10" x14ac:dyDescent="0.2">
      <c r="A148" s="1" t="s">
        <v>513</v>
      </c>
      <c r="B148" s="1" t="s">
        <v>74</v>
      </c>
      <c r="C148" s="9">
        <v>313648228</v>
      </c>
      <c r="D148" s="10">
        <v>4164919418</v>
      </c>
      <c r="E148" s="1" t="s">
        <v>17</v>
      </c>
      <c r="F148" s="24">
        <v>35779</v>
      </c>
      <c r="G148" s="11">
        <f t="shared" ca="1" si="2"/>
        <v>27</v>
      </c>
      <c r="H148" s="12">
        <v>5</v>
      </c>
      <c r="I148" s="17">
        <v>52728</v>
      </c>
      <c r="J148" s="50">
        <v>35779</v>
      </c>
    </row>
    <row r="149" spans="1:10" x14ac:dyDescent="0.2">
      <c r="A149" s="1" t="s">
        <v>735</v>
      </c>
      <c r="B149" s="1" t="s">
        <v>74</v>
      </c>
      <c r="C149" s="9">
        <v>394876677</v>
      </c>
      <c r="D149" s="10">
        <v>2026427045</v>
      </c>
      <c r="E149" s="1" t="s">
        <v>22</v>
      </c>
      <c r="F149" s="24">
        <v>37281</v>
      </c>
      <c r="G149" s="11">
        <f t="shared" ca="1" si="2"/>
        <v>23</v>
      </c>
      <c r="H149" s="12">
        <v>5</v>
      </c>
      <c r="I149" s="17">
        <v>51584</v>
      </c>
      <c r="J149" s="50">
        <v>37281</v>
      </c>
    </row>
    <row r="150" spans="1:10" x14ac:dyDescent="0.2">
      <c r="A150" s="1" t="s">
        <v>390</v>
      </c>
      <c r="B150" s="1" t="s">
        <v>74</v>
      </c>
      <c r="C150" s="9">
        <v>963028490</v>
      </c>
      <c r="D150" s="10">
        <v>7088252392</v>
      </c>
      <c r="E150" s="1" t="s">
        <v>33</v>
      </c>
      <c r="F150" s="24">
        <v>40635</v>
      </c>
      <c r="G150" s="11">
        <f t="shared" ca="1" si="2"/>
        <v>13</v>
      </c>
      <c r="H150" s="12">
        <v>5</v>
      </c>
      <c r="I150" s="17">
        <v>51370</v>
      </c>
      <c r="J150" s="50">
        <v>40635</v>
      </c>
    </row>
    <row r="151" spans="1:10" x14ac:dyDescent="0.2">
      <c r="A151" s="1" t="s">
        <v>600</v>
      </c>
      <c r="B151" s="1" t="s">
        <v>74</v>
      </c>
      <c r="C151" s="9">
        <v>826508763</v>
      </c>
      <c r="D151" s="10">
        <v>4135797109</v>
      </c>
      <c r="E151" s="1" t="s">
        <v>81</v>
      </c>
      <c r="F151" s="24">
        <v>37130</v>
      </c>
      <c r="G151" s="11">
        <f t="shared" ca="1" si="2"/>
        <v>23</v>
      </c>
      <c r="H151" s="12">
        <v>4</v>
      </c>
      <c r="I151" s="17">
        <v>50398</v>
      </c>
      <c r="J151" s="50">
        <v>37130</v>
      </c>
    </row>
    <row r="152" spans="1:10" x14ac:dyDescent="0.2">
      <c r="A152" s="1" t="s">
        <v>162</v>
      </c>
      <c r="B152" s="1" t="s">
        <v>74</v>
      </c>
      <c r="C152" s="9">
        <v>504914685</v>
      </c>
      <c r="D152" s="10">
        <v>7148502926</v>
      </c>
      <c r="E152" s="1" t="s">
        <v>22</v>
      </c>
      <c r="F152" s="24">
        <v>36368</v>
      </c>
      <c r="G152" s="11">
        <f t="shared" ca="1" si="2"/>
        <v>25</v>
      </c>
      <c r="H152" s="12">
        <v>5</v>
      </c>
      <c r="I152" s="17">
        <v>49075</v>
      </c>
      <c r="J152" s="50">
        <v>36368</v>
      </c>
    </row>
    <row r="153" spans="1:10" x14ac:dyDescent="0.2">
      <c r="A153" s="1" t="s">
        <v>664</v>
      </c>
      <c r="B153" s="1" t="s">
        <v>74</v>
      </c>
      <c r="C153" s="9">
        <v>693055639</v>
      </c>
      <c r="D153" s="10">
        <v>9183922813</v>
      </c>
      <c r="E153" s="1" t="s">
        <v>22</v>
      </c>
      <c r="F153" s="24">
        <v>33984</v>
      </c>
      <c r="G153" s="11">
        <f t="shared" ca="1" si="2"/>
        <v>32</v>
      </c>
      <c r="H153" s="12">
        <v>5</v>
      </c>
      <c r="I153" s="17">
        <v>45968</v>
      </c>
      <c r="J153" s="50">
        <v>33984</v>
      </c>
    </row>
    <row r="154" spans="1:10" x14ac:dyDescent="0.2">
      <c r="A154" s="1" t="s">
        <v>277</v>
      </c>
      <c r="B154" s="1" t="s">
        <v>74</v>
      </c>
      <c r="C154" s="9">
        <v>318723704</v>
      </c>
      <c r="D154" s="10">
        <v>2064999647</v>
      </c>
      <c r="E154" s="1" t="s">
        <v>33</v>
      </c>
      <c r="F154" s="24">
        <v>34576</v>
      </c>
      <c r="G154" s="11">
        <f t="shared" ca="1" si="2"/>
        <v>30</v>
      </c>
      <c r="H154" s="12">
        <v>4</v>
      </c>
      <c r="I154" s="17">
        <v>44343</v>
      </c>
      <c r="J154" s="50">
        <v>34576</v>
      </c>
    </row>
    <row r="155" spans="1:10" x14ac:dyDescent="0.2">
      <c r="A155" s="1" t="s">
        <v>642</v>
      </c>
      <c r="B155" s="1" t="s">
        <v>74</v>
      </c>
      <c r="C155" s="9">
        <v>302170290</v>
      </c>
      <c r="D155" s="10">
        <v>8194652136</v>
      </c>
      <c r="E155" s="1" t="s">
        <v>33</v>
      </c>
      <c r="F155" s="24">
        <v>36053</v>
      </c>
      <c r="G155" s="11">
        <f t="shared" ca="1" si="2"/>
        <v>26</v>
      </c>
      <c r="H155" s="12">
        <v>2</v>
      </c>
      <c r="I155" s="17">
        <v>42686</v>
      </c>
      <c r="J155" s="50">
        <v>36053</v>
      </c>
    </row>
    <row r="156" spans="1:10" x14ac:dyDescent="0.2">
      <c r="A156" s="1" t="s">
        <v>497</v>
      </c>
      <c r="B156" s="1" t="s">
        <v>74</v>
      </c>
      <c r="C156" s="9">
        <v>292006053</v>
      </c>
      <c r="D156" s="10">
        <v>7194442207</v>
      </c>
      <c r="E156" s="1" t="s">
        <v>22</v>
      </c>
      <c r="F156" s="24">
        <v>41266</v>
      </c>
      <c r="G156" s="11">
        <f t="shared" ca="1" si="2"/>
        <v>12</v>
      </c>
      <c r="H156" s="12">
        <v>4</v>
      </c>
      <c r="I156" s="17">
        <v>42432</v>
      </c>
      <c r="J156" s="50">
        <v>41266</v>
      </c>
    </row>
    <row r="157" spans="1:10" x14ac:dyDescent="0.2">
      <c r="A157" s="1" t="s">
        <v>533</v>
      </c>
      <c r="B157" s="1" t="s">
        <v>74</v>
      </c>
      <c r="C157" s="9">
        <v>313128501</v>
      </c>
      <c r="D157" s="10">
        <v>6164907564</v>
      </c>
      <c r="E157" s="1" t="s">
        <v>22</v>
      </c>
      <c r="F157" s="24">
        <v>33946</v>
      </c>
      <c r="G157" s="11">
        <f t="shared" ca="1" si="2"/>
        <v>32</v>
      </c>
      <c r="H157" s="12">
        <v>4</v>
      </c>
      <c r="I157" s="17">
        <v>42068</v>
      </c>
      <c r="J157" s="50">
        <v>33946</v>
      </c>
    </row>
    <row r="158" spans="1:10" x14ac:dyDescent="0.2">
      <c r="A158" s="1" t="s">
        <v>219</v>
      </c>
      <c r="B158" s="1" t="s">
        <v>74</v>
      </c>
      <c r="C158" s="9">
        <v>929694686</v>
      </c>
      <c r="D158" s="10">
        <v>3157430732</v>
      </c>
      <c r="E158" s="1" t="s">
        <v>17</v>
      </c>
      <c r="F158" s="24">
        <v>38508</v>
      </c>
      <c r="G158" s="11">
        <f t="shared" ca="1" si="2"/>
        <v>19</v>
      </c>
      <c r="H158" s="12">
        <v>5</v>
      </c>
      <c r="I158" s="17">
        <v>41561</v>
      </c>
      <c r="J158" s="50">
        <v>38508</v>
      </c>
    </row>
    <row r="159" spans="1:10" x14ac:dyDescent="0.2">
      <c r="A159" s="1" t="s">
        <v>699</v>
      </c>
      <c r="B159" s="1" t="s">
        <v>74</v>
      </c>
      <c r="C159" s="9">
        <v>555025137</v>
      </c>
      <c r="D159" s="10">
        <v>8141449596</v>
      </c>
      <c r="E159" s="1" t="s">
        <v>17</v>
      </c>
      <c r="F159" s="24">
        <v>35638</v>
      </c>
      <c r="G159" s="11">
        <f t="shared" ca="1" si="2"/>
        <v>27</v>
      </c>
      <c r="H159" s="12">
        <v>4</v>
      </c>
      <c r="I159" s="17">
        <v>34268</v>
      </c>
      <c r="J159" s="50">
        <v>35638</v>
      </c>
    </row>
    <row r="160" spans="1:10" x14ac:dyDescent="0.2">
      <c r="A160" s="1" t="s">
        <v>503</v>
      </c>
      <c r="B160" s="1" t="s">
        <v>74</v>
      </c>
      <c r="C160" s="9">
        <v>174159111</v>
      </c>
      <c r="D160" s="10">
        <v>2182456406</v>
      </c>
      <c r="E160" s="1" t="s">
        <v>17</v>
      </c>
      <c r="F160" s="24">
        <v>36806</v>
      </c>
      <c r="G160" s="11">
        <f t="shared" ca="1" si="2"/>
        <v>24</v>
      </c>
      <c r="H160" s="12">
        <v>5</v>
      </c>
      <c r="I160" s="17">
        <v>32656</v>
      </c>
      <c r="J160" s="50">
        <v>36806</v>
      </c>
    </row>
    <row r="161" spans="1:10" x14ac:dyDescent="0.2">
      <c r="A161" s="1" t="s">
        <v>159</v>
      </c>
      <c r="B161" s="1" t="s">
        <v>74</v>
      </c>
      <c r="C161" s="9">
        <v>247422007</v>
      </c>
      <c r="D161" s="10">
        <v>5043373445</v>
      </c>
      <c r="E161" s="1" t="s">
        <v>22</v>
      </c>
      <c r="F161" s="24">
        <v>39620</v>
      </c>
      <c r="G161" s="11">
        <f t="shared" ca="1" si="2"/>
        <v>16</v>
      </c>
      <c r="H161" s="12">
        <v>4</v>
      </c>
      <c r="I161" s="17">
        <v>29133</v>
      </c>
      <c r="J161" s="50">
        <v>39620</v>
      </c>
    </row>
    <row r="162" spans="1:10" x14ac:dyDescent="0.2">
      <c r="A162" s="1" t="s">
        <v>647</v>
      </c>
      <c r="B162" s="1" t="s">
        <v>74</v>
      </c>
      <c r="C162" s="9">
        <v>443926890</v>
      </c>
      <c r="D162" s="10">
        <v>6057135797</v>
      </c>
      <c r="E162" s="1" t="s">
        <v>17</v>
      </c>
      <c r="F162" s="24">
        <v>34291</v>
      </c>
      <c r="G162" s="11">
        <f t="shared" ca="1" si="2"/>
        <v>31</v>
      </c>
      <c r="H162" s="12">
        <v>2</v>
      </c>
      <c r="I162" s="17">
        <v>29016</v>
      </c>
      <c r="J162" s="50">
        <v>34291</v>
      </c>
    </row>
    <row r="163" spans="1:10" x14ac:dyDescent="0.2">
      <c r="A163" s="1" t="s">
        <v>677</v>
      </c>
      <c r="B163" s="1" t="s">
        <v>74</v>
      </c>
      <c r="C163" s="9">
        <v>132016163</v>
      </c>
      <c r="D163" s="10">
        <v>5021656242</v>
      </c>
      <c r="E163" s="1" t="s">
        <v>33</v>
      </c>
      <c r="F163" s="24">
        <v>35937</v>
      </c>
      <c r="G163" s="11">
        <f t="shared" ca="1" si="2"/>
        <v>26</v>
      </c>
      <c r="H163" s="12">
        <v>3</v>
      </c>
      <c r="I163" s="17">
        <v>27586</v>
      </c>
      <c r="J163" s="50">
        <v>35937</v>
      </c>
    </row>
    <row r="164" spans="1:10" x14ac:dyDescent="0.2">
      <c r="A164" s="1" t="s">
        <v>320</v>
      </c>
      <c r="B164" s="1" t="s">
        <v>74</v>
      </c>
      <c r="C164" s="9">
        <v>510190628</v>
      </c>
      <c r="D164" s="10">
        <v>8158577225</v>
      </c>
      <c r="E164" s="1" t="s">
        <v>81</v>
      </c>
      <c r="F164" s="24">
        <v>40760</v>
      </c>
      <c r="G164" s="11">
        <f t="shared" ca="1" si="2"/>
        <v>13</v>
      </c>
      <c r="H164" s="12">
        <v>3</v>
      </c>
      <c r="I164" s="17">
        <v>20467</v>
      </c>
      <c r="J164" s="50">
        <v>40760</v>
      </c>
    </row>
    <row r="165" spans="1:10" x14ac:dyDescent="0.2">
      <c r="A165" s="1" t="s">
        <v>558</v>
      </c>
      <c r="B165" s="1" t="s">
        <v>74</v>
      </c>
      <c r="C165" s="9">
        <v>510700395</v>
      </c>
      <c r="D165" s="10">
        <v>5168611970</v>
      </c>
      <c r="E165" s="1" t="s">
        <v>33</v>
      </c>
      <c r="F165" s="24">
        <v>35622</v>
      </c>
      <c r="G165" s="11">
        <f t="shared" ca="1" si="2"/>
        <v>27</v>
      </c>
      <c r="H165" s="12">
        <v>4</v>
      </c>
      <c r="I165" s="17">
        <v>19507</v>
      </c>
      <c r="J165" s="50">
        <v>35622</v>
      </c>
    </row>
    <row r="166" spans="1:10" x14ac:dyDescent="0.2">
      <c r="A166" s="1" t="s">
        <v>493</v>
      </c>
      <c r="B166" s="1" t="s">
        <v>80</v>
      </c>
      <c r="C166" s="9">
        <v>676534152</v>
      </c>
      <c r="D166" s="10">
        <v>2033640748</v>
      </c>
      <c r="E166" s="1" t="s">
        <v>33</v>
      </c>
      <c r="F166" s="24">
        <v>35268</v>
      </c>
      <c r="G166" s="11">
        <f t="shared" ca="1" si="2"/>
        <v>28</v>
      </c>
      <c r="H166" s="12">
        <v>4</v>
      </c>
      <c r="I166" s="17">
        <v>116714</v>
      </c>
      <c r="J166" s="50">
        <v>35268</v>
      </c>
    </row>
    <row r="167" spans="1:10" x14ac:dyDescent="0.2">
      <c r="A167" s="1" t="s">
        <v>309</v>
      </c>
      <c r="B167" s="1" t="s">
        <v>80</v>
      </c>
      <c r="C167" s="9">
        <v>725801036</v>
      </c>
      <c r="D167" s="10">
        <v>5094603155</v>
      </c>
      <c r="E167" s="1" t="s">
        <v>22</v>
      </c>
      <c r="F167" s="24">
        <v>34252</v>
      </c>
      <c r="G167" s="11">
        <f t="shared" ca="1" si="2"/>
        <v>31</v>
      </c>
      <c r="H167" s="12">
        <v>1</v>
      </c>
      <c r="I167" s="17">
        <v>115882</v>
      </c>
      <c r="J167" s="50">
        <v>34252</v>
      </c>
    </row>
    <row r="168" spans="1:10" x14ac:dyDescent="0.2">
      <c r="A168" s="1" t="s">
        <v>285</v>
      </c>
      <c r="B168" s="1" t="s">
        <v>80</v>
      </c>
      <c r="C168" s="9">
        <v>839899522</v>
      </c>
      <c r="D168" s="10">
        <v>3175978858</v>
      </c>
      <c r="E168" s="1" t="s">
        <v>81</v>
      </c>
      <c r="F168" s="24">
        <v>38813</v>
      </c>
      <c r="G168" s="11">
        <f t="shared" ca="1" si="2"/>
        <v>18</v>
      </c>
      <c r="H168" s="12">
        <v>5</v>
      </c>
      <c r="I168" s="17">
        <v>110669</v>
      </c>
      <c r="J168" s="50">
        <v>38813</v>
      </c>
    </row>
    <row r="169" spans="1:10" x14ac:dyDescent="0.2">
      <c r="A169" s="1" t="s">
        <v>266</v>
      </c>
      <c r="B169" s="1" t="s">
        <v>80</v>
      </c>
      <c r="C169" s="9">
        <v>953109212</v>
      </c>
      <c r="D169" s="10">
        <v>2178038161</v>
      </c>
      <c r="E169" s="1" t="s">
        <v>17</v>
      </c>
      <c r="F169" s="24">
        <v>41130</v>
      </c>
      <c r="G169" s="11">
        <f t="shared" ca="1" si="2"/>
        <v>12</v>
      </c>
      <c r="H169" s="12">
        <v>4</v>
      </c>
      <c r="I169" s="17">
        <v>92547</v>
      </c>
      <c r="J169" s="50">
        <v>41130</v>
      </c>
    </row>
    <row r="170" spans="1:10" x14ac:dyDescent="0.2">
      <c r="A170" s="1" t="s">
        <v>577</v>
      </c>
      <c r="B170" s="1" t="s">
        <v>80</v>
      </c>
      <c r="C170" s="9">
        <v>649292883</v>
      </c>
      <c r="D170" s="10">
        <v>5123182167</v>
      </c>
      <c r="E170" s="1" t="s">
        <v>17</v>
      </c>
      <c r="F170" s="24">
        <v>37540</v>
      </c>
      <c r="G170" s="11">
        <f t="shared" ca="1" si="2"/>
        <v>22</v>
      </c>
      <c r="H170" s="12">
        <v>4</v>
      </c>
      <c r="I170" s="17">
        <v>90233</v>
      </c>
      <c r="J170" s="50">
        <v>37540</v>
      </c>
    </row>
    <row r="171" spans="1:10" x14ac:dyDescent="0.2">
      <c r="A171" s="1" t="s">
        <v>79</v>
      </c>
      <c r="B171" s="1" t="s">
        <v>80</v>
      </c>
      <c r="C171" s="9">
        <v>415228597</v>
      </c>
      <c r="D171" s="10">
        <v>7146593848</v>
      </c>
      <c r="E171" s="1" t="s">
        <v>81</v>
      </c>
      <c r="F171" s="24">
        <v>37386</v>
      </c>
      <c r="G171" s="11">
        <f t="shared" ca="1" si="2"/>
        <v>22</v>
      </c>
      <c r="H171" s="12">
        <v>5</v>
      </c>
      <c r="I171" s="17">
        <v>80418</v>
      </c>
      <c r="J171" s="50">
        <v>37386</v>
      </c>
    </row>
    <row r="172" spans="1:10" x14ac:dyDescent="0.2">
      <c r="A172" s="1" t="s">
        <v>176</v>
      </c>
      <c r="B172" s="1" t="s">
        <v>80</v>
      </c>
      <c r="C172" s="9">
        <v>643984096</v>
      </c>
      <c r="D172" s="10">
        <v>8072913490</v>
      </c>
      <c r="E172" s="1" t="s">
        <v>33</v>
      </c>
      <c r="F172" s="24">
        <v>38372</v>
      </c>
      <c r="G172" s="11">
        <f t="shared" ca="1" si="2"/>
        <v>20</v>
      </c>
      <c r="H172" s="12">
        <v>1</v>
      </c>
      <c r="I172" s="17">
        <v>67340</v>
      </c>
      <c r="J172" s="50">
        <v>38372</v>
      </c>
    </row>
    <row r="173" spans="1:10" x14ac:dyDescent="0.2">
      <c r="A173" s="1" t="s">
        <v>98</v>
      </c>
      <c r="B173" s="1" t="s">
        <v>80</v>
      </c>
      <c r="C173" s="9">
        <v>855663308</v>
      </c>
      <c r="D173" s="10">
        <v>7176188082</v>
      </c>
      <c r="E173" s="1" t="s">
        <v>22</v>
      </c>
      <c r="F173" s="24">
        <v>37910</v>
      </c>
      <c r="G173" s="11">
        <f t="shared" ca="1" si="2"/>
        <v>21</v>
      </c>
      <c r="H173" s="12">
        <v>1</v>
      </c>
      <c r="I173" s="17">
        <v>58695</v>
      </c>
      <c r="J173" s="50">
        <v>37910</v>
      </c>
    </row>
    <row r="174" spans="1:10" x14ac:dyDescent="0.2">
      <c r="A174" s="1" t="s">
        <v>597</v>
      </c>
      <c r="B174" s="1" t="s">
        <v>21</v>
      </c>
      <c r="C174" s="9">
        <v>916944119</v>
      </c>
      <c r="D174" s="10">
        <v>7097111802</v>
      </c>
      <c r="E174" s="1" t="s">
        <v>22</v>
      </c>
      <c r="F174" s="24">
        <v>36799</v>
      </c>
      <c r="G174" s="11">
        <f t="shared" ca="1" si="2"/>
        <v>24</v>
      </c>
      <c r="H174" s="12">
        <v>5</v>
      </c>
      <c r="I174" s="17">
        <v>116662</v>
      </c>
      <c r="J174" s="50">
        <v>36799</v>
      </c>
    </row>
    <row r="175" spans="1:10" x14ac:dyDescent="0.2">
      <c r="A175" s="1" t="s">
        <v>611</v>
      </c>
      <c r="B175" s="1" t="s">
        <v>21</v>
      </c>
      <c r="C175" s="9">
        <v>564908088</v>
      </c>
      <c r="D175" s="10">
        <v>8091629556</v>
      </c>
      <c r="E175" s="1" t="s">
        <v>17</v>
      </c>
      <c r="F175" s="24">
        <v>37585</v>
      </c>
      <c r="G175" s="11">
        <f t="shared" ca="1" si="2"/>
        <v>22</v>
      </c>
      <c r="H175" s="12">
        <v>5</v>
      </c>
      <c r="I175" s="17">
        <v>116376</v>
      </c>
      <c r="J175" s="50">
        <v>37585</v>
      </c>
    </row>
    <row r="176" spans="1:10" x14ac:dyDescent="0.2">
      <c r="A176" s="1" t="s">
        <v>243</v>
      </c>
      <c r="B176" s="1" t="s">
        <v>21</v>
      </c>
      <c r="C176" s="9">
        <v>733413074</v>
      </c>
      <c r="D176" s="10">
        <v>9034629606</v>
      </c>
      <c r="E176" s="1" t="s">
        <v>22</v>
      </c>
      <c r="F176" s="24">
        <v>36968</v>
      </c>
      <c r="G176" s="11">
        <f t="shared" ca="1" si="2"/>
        <v>23</v>
      </c>
      <c r="H176" s="12">
        <v>5</v>
      </c>
      <c r="I176" s="17">
        <v>114712</v>
      </c>
      <c r="J176" s="50">
        <v>36968</v>
      </c>
    </row>
    <row r="177" spans="1:10" x14ac:dyDescent="0.2">
      <c r="A177" s="1" t="s">
        <v>211</v>
      </c>
      <c r="B177" s="1" t="s">
        <v>21</v>
      </c>
      <c r="C177" s="9">
        <v>252582122</v>
      </c>
      <c r="D177" s="10">
        <v>7083575849</v>
      </c>
      <c r="E177" s="1" t="s">
        <v>22</v>
      </c>
      <c r="F177" s="24">
        <v>39244</v>
      </c>
      <c r="G177" s="11">
        <f t="shared" ca="1" si="2"/>
        <v>17</v>
      </c>
      <c r="H177" s="12">
        <v>1</v>
      </c>
      <c r="I177" s="17">
        <v>114088</v>
      </c>
      <c r="J177" s="50">
        <v>39244</v>
      </c>
    </row>
    <row r="178" spans="1:10" x14ac:dyDescent="0.2">
      <c r="A178" s="1" t="s">
        <v>659</v>
      </c>
      <c r="B178" s="1" t="s">
        <v>21</v>
      </c>
      <c r="C178" s="9">
        <v>357568979</v>
      </c>
      <c r="D178" s="10">
        <v>7095821616</v>
      </c>
      <c r="E178" s="1" t="s">
        <v>22</v>
      </c>
      <c r="F178" s="24">
        <v>36023</v>
      </c>
      <c r="G178" s="11">
        <f t="shared" ca="1" si="2"/>
        <v>26</v>
      </c>
      <c r="H178" s="12">
        <v>3</v>
      </c>
      <c r="I178" s="17">
        <v>112138</v>
      </c>
      <c r="J178" s="50">
        <v>36023</v>
      </c>
    </row>
    <row r="179" spans="1:10" x14ac:dyDescent="0.2">
      <c r="A179" s="1" t="s">
        <v>705</v>
      </c>
      <c r="B179" s="1" t="s">
        <v>21</v>
      </c>
      <c r="C179" s="9">
        <v>240272873</v>
      </c>
      <c r="D179" s="10">
        <v>4043162442</v>
      </c>
      <c r="E179" s="1" t="s">
        <v>17</v>
      </c>
      <c r="F179" s="24">
        <v>40412</v>
      </c>
      <c r="G179" s="11">
        <f t="shared" ca="1" si="2"/>
        <v>14</v>
      </c>
      <c r="H179" s="12">
        <v>2</v>
      </c>
      <c r="I179" s="17">
        <v>109421</v>
      </c>
      <c r="J179" s="50">
        <v>40412</v>
      </c>
    </row>
    <row r="180" spans="1:10" x14ac:dyDescent="0.2">
      <c r="A180" s="1" t="s">
        <v>589</v>
      </c>
      <c r="B180" s="1" t="s">
        <v>21</v>
      </c>
      <c r="C180" s="9">
        <v>397835298</v>
      </c>
      <c r="D180" s="10">
        <v>9166458440</v>
      </c>
      <c r="E180" s="1" t="s">
        <v>22</v>
      </c>
      <c r="F180" s="24">
        <v>35018</v>
      </c>
      <c r="G180" s="11">
        <f t="shared" ca="1" si="2"/>
        <v>29</v>
      </c>
      <c r="H180" s="12">
        <v>2</v>
      </c>
      <c r="I180" s="17">
        <v>106574</v>
      </c>
      <c r="J180" s="50">
        <v>35018</v>
      </c>
    </row>
    <row r="181" spans="1:10" x14ac:dyDescent="0.2">
      <c r="A181" s="1" t="s">
        <v>153</v>
      </c>
      <c r="B181" s="1" t="s">
        <v>21</v>
      </c>
      <c r="C181" s="9">
        <v>400260342</v>
      </c>
      <c r="D181" s="10">
        <v>2116466230</v>
      </c>
      <c r="E181" s="1" t="s">
        <v>22</v>
      </c>
      <c r="F181" s="24">
        <v>37065</v>
      </c>
      <c r="G181" s="11">
        <f t="shared" ca="1" si="2"/>
        <v>23</v>
      </c>
      <c r="H181" s="12">
        <v>2</v>
      </c>
      <c r="I181" s="17">
        <v>105820</v>
      </c>
      <c r="J181" s="50">
        <v>37065</v>
      </c>
    </row>
    <row r="182" spans="1:10" x14ac:dyDescent="0.2">
      <c r="A182" s="1" t="s">
        <v>235</v>
      </c>
      <c r="B182" s="1" t="s">
        <v>21</v>
      </c>
      <c r="C182" s="9">
        <v>304068732</v>
      </c>
      <c r="D182" s="10">
        <v>6064734960</v>
      </c>
      <c r="E182" s="1" t="s">
        <v>22</v>
      </c>
      <c r="F182" s="24">
        <v>35350</v>
      </c>
      <c r="G182" s="11">
        <f t="shared" ca="1" si="2"/>
        <v>28</v>
      </c>
      <c r="H182" s="12">
        <v>4</v>
      </c>
      <c r="I182" s="17">
        <v>105313</v>
      </c>
      <c r="J182" s="50">
        <v>35350</v>
      </c>
    </row>
    <row r="183" spans="1:10" x14ac:dyDescent="0.2">
      <c r="A183" s="1" t="s">
        <v>516</v>
      </c>
      <c r="B183" s="1" t="s">
        <v>21</v>
      </c>
      <c r="C183" s="9">
        <v>759350847</v>
      </c>
      <c r="D183" s="10">
        <v>7184900864</v>
      </c>
      <c r="E183" s="1" t="s">
        <v>17</v>
      </c>
      <c r="F183" s="24">
        <v>35538</v>
      </c>
      <c r="G183" s="11">
        <f t="shared" ca="1" si="2"/>
        <v>27</v>
      </c>
      <c r="H183" s="12">
        <v>3</v>
      </c>
      <c r="I183" s="17">
        <v>104897</v>
      </c>
      <c r="J183" s="50">
        <v>35538</v>
      </c>
    </row>
    <row r="184" spans="1:10" x14ac:dyDescent="0.2">
      <c r="A184" s="1" t="s">
        <v>75</v>
      </c>
      <c r="B184" s="1" t="s">
        <v>21</v>
      </c>
      <c r="C184" s="9">
        <v>277423593</v>
      </c>
      <c r="D184" s="10">
        <v>3164078104</v>
      </c>
      <c r="E184" s="1" t="s">
        <v>17</v>
      </c>
      <c r="F184" s="24">
        <v>39779</v>
      </c>
      <c r="G184" s="11">
        <f t="shared" ca="1" si="2"/>
        <v>16</v>
      </c>
      <c r="H184" s="12">
        <v>4</v>
      </c>
      <c r="I184" s="17">
        <v>104429</v>
      </c>
      <c r="J184" s="50">
        <v>39779</v>
      </c>
    </row>
    <row r="185" spans="1:10" x14ac:dyDescent="0.2">
      <c r="A185" s="1" t="s">
        <v>236</v>
      </c>
      <c r="B185" s="1" t="s">
        <v>21</v>
      </c>
      <c r="C185" s="9">
        <v>138607245</v>
      </c>
      <c r="D185" s="10">
        <v>9141711684</v>
      </c>
      <c r="E185" s="1" t="s">
        <v>22</v>
      </c>
      <c r="F185" s="24">
        <v>36387</v>
      </c>
      <c r="G185" s="11">
        <f t="shared" ca="1" si="2"/>
        <v>25</v>
      </c>
      <c r="H185" s="12">
        <v>2</v>
      </c>
      <c r="I185" s="17">
        <v>103649</v>
      </c>
      <c r="J185" s="50">
        <v>36387</v>
      </c>
    </row>
    <row r="186" spans="1:10" x14ac:dyDescent="0.2">
      <c r="A186" s="1" t="s">
        <v>50</v>
      </c>
      <c r="B186" s="1" t="s">
        <v>21</v>
      </c>
      <c r="C186" s="9">
        <v>723930767</v>
      </c>
      <c r="D186" s="10">
        <v>4024532398</v>
      </c>
      <c r="E186" s="1" t="s">
        <v>17</v>
      </c>
      <c r="F186" s="24">
        <v>34920</v>
      </c>
      <c r="G186" s="11">
        <f t="shared" ca="1" si="2"/>
        <v>29</v>
      </c>
      <c r="H186" s="12">
        <v>4</v>
      </c>
      <c r="I186" s="17">
        <v>102986</v>
      </c>
      <c r="J186" s="50">
        <v>34920</v>
      </c>
    </row>
    <row r="187" spans="1:10" x14ac:dyDescent="0.2">
      <c r="A187" s="1" t="s">
        <v>561</v>
      </c>
      <c r="B187" s="1" t="s">
        <v>21</v>
      </c>
      <c r="C187" s="9">
        <v>903618594</v>
      </c>
      <c r="D187" s="10">
        <v>7176844371</v>
      </c>
      <c r="E187" s="1" t="s">
        <v>22</v>
      </c>
      <c r="F187" s="24">
        <v>36668</v>
      </c>
      <c r="G187" s="11">
        <f t="shared" ca="1" si="2"/>
        <v>24</v>
      </c>
      <c r="H187" s="12">
        <v>1</v>
      </c>
      <c r="I187" s="17">
        <v>102141</v>
      </c>
      <c r="J187" s="50">
        <v>36668</v>
      </c>
    </row>
    <row r="188" spans="1:10" x14ac:dyDescent="0.2">
      <c r="A188" s="1" t="s">
        <v>680</v>
      </c>
      <c r="B188" s="1" t="s">
        <v>21</v>
      </c>
      <c r="C188" s="9">
        <v>468234190</v>
      </c>
      <c r="D188" s="10">
        <v>5087660273</v>
      </c>
      <c r="E188" s="1" t="s">
        <v>17</v>
      </c>
      <c r="F188" s="24">
        <v>40697</v>
      </c>
      <c r="G188" s="11">
        <f t="shared" ca="1" si="2"/>
        <v>13</v>
      </c>
      <c r="H188" s="12">
        <v>4</v>
      </c>
      <c r="I188" s="17">
        <v>102076</v>
      </c>
      <c r="J188" s="50">
        <v>40697</v>
      </c>
    </row>
    <row r="189" spans="1:10" x14ac:dyDescent="0.2">
      <c r="A189" s="1" t="s">
        <v>234</v>
      </c>
      <c r="B189" s="1" t="s">
        <v>21</v>
      </c>
      <c r="C189" s="9">
        <v>870601943</v>
      </c>
      <c r="D189" s="10">
        <v>8046479087</v>
      </c>
      <c r="E189" s="1" t="s">
        <v>22</v>
      </c>
      <c r="F189" s="24">
        <v>40839</v>
      </c>
      <c r="G189" s="11">
        <f t="shared" ca="1" si="2"/>
        <v>13</v>
      </c>
      <c r="H189" s="12">
        <v>5</v>
      </c>
      <c r="I189" s="17">
        <v>101621</v>
      </c>
      <c r="J189" s="50">
        <v>40839</v>
      </c>
    </row>
    <row r="190" spans="1:10" x14ac:dyDescent="0.2">
      <c r="A190" s="1" t="s">
        <v>232</v>
      </c>
      <c r="B190" s="1" t="s">
        <v>21</v>
      </c>
      <c r="C190" s="9">
        <v>665773893</v>
      </c>
      <c r="D190" s="10">
        <v>9073517837</v>
      </c>
      <c r="E190" s="1" t="s">
        <v>22</v>
      </c>
      <c r="F190" s="24">
        <v>39676</v>
      </c>
      <c r="G190" s="11">
        <f t="shared" ca="1" si="2"/>
        <v>16</v>
      </c>
      <c r="H190" s="12">
        <v>1</v>
      </c>
      <c r="I190" s="17">
        <v>99559</v>
      </c>
      <c r="J190" s="50">
        <v>39676</v>
      </c>
    </row>
    <row r="191" spans="1:10" x14ac:dyDescent="0.2">
      <c r="A191" s="1" t="s">
        <v>645</v>
      </c>
      <c r="B191" s="1" t="s">
        <v>21</v>
      </c>
      <c r="C191" s="9">
        <v>136620388</v>
      </c>
      <c r="D191" s="10">
        <v>8091696804</v>
      </c>
      <c r="E191" s="1" t="s">
        <v>22</v>
      </c>
      <c r="F191" s="24">
        <v>37402</v>
      </c>
      <c r="G191" s="11">
        <f t="shared" ca="1" si="2"/>
        <v>22</v>
      </c>
      <c r="H191" s="12">
        <v>4</v>
      </c>
      <c r="I191" s="17">
        <v>99050</v>
      </c>
      <c r="J191" s="50">
        <v>37402</v>
      </c>
    </row>
    <row r="192" spans="1:10" x14ac:dyDescent="0.2">
      <c r="A192" s="1" t="s">
        <v>252</v>
      </c>
      <c r="B192" s="1" t="s">
        <v>21</v>
      </c>
      <c r="C192" s="9">
        <v>711445298</v>
      </c>
      <c r="D192" s="10">
        <v>5084361873</v>
      </c>
      <c r="E192" s="1" t="s">
        <v>17</v>
      </c>
      <c r="F192" s="24">
        <v>38687</v>
      </c>
      <c r="G192" s="11">
        <f t="shared" ca="1" si="2"/>
        <v>19</v>
      </c>
      <c r="H192" s="12">
        <v>1</v>
      </c>
      <c r="I192" s="17">
        <v>98046</v>
      </c>
      <c r="J192" s="50">
        <v>38687</v>
      </c>
    </row>
    <row r="193" spans="1:10" x14ac:dyDescent="0.2">
      <c r="A193" s="1" t="s">
        <v>315</v>
      </c>
      <c r="B193" s="1" t="s">
        <v>21</v>
      </c>
      <c r="C193" s="9">
        <v>763182349</v>
      </c>
      <c r="D193" s="10">
        <v>8144944945</v>
      </c>
      <c r="E193" s="1" t="s">
        <v>22</v>
      </c>
      <c r="F193" s="24">
        <v>38810</v>
      </c>
      <c r="G193" s="11">
        <f t="shared" ca="1" si="2"/>
        <v>18</v>
      </c>
      <c r="H193" s="12">
        <v>3</v>
      </c>
      <c r="I193" s="17">
        <v>97729</v>
      </c>
      <c r="J193" s="50">
        <v>38810</v>
      </c>
    </row>
    <row r="194" spans="1:10" x14ac:dyDescent="0.2">
      <c r="A194" s="1" t="s">
        <v>342</v>
      </c>
      <c r="B194" s="1" t="s">
        <v>21</v>
      </c>
      <c r="C194" s="9">
        <v>784064156</v>
      </c>
      <c r="D194" s="10">
        <v>2185252544</v>
      </c>
      <c r="E194" s="1" t="s">
        <v>22</v>
      </c>
      <c r="F194" s="24">
        <v>36876</v>
      </c>
      <c r="G194" s="11">
        <f t="shared" ref="G194:G257" ca="1" si="3">DATEDIF(F194,TODAY(),"Y")</f>
        <v>24</v>
      </c>
      <c r="H194" s="12">
        <v>5</v>
      </c>
      <c r="I194" s="17">
        <v>97656</v>
      </c>
      <c r="J194" s="50">
        <v>36876</v>
      </c>
    </row>
    <row r="195" spans="1:10" x14ac:dyDescent="0.2">
      <c r="A195" s="1" t="s">
        <v>563</v>
      </c>
      <c r="B195" s="1" t="s">
        <v>21</v>
      </c>
      <c r="C195" s="9">
        <v>627494412</v>
      </c>
      <c r="D195" s="10">
        <v>8122601200</v>
      </c>
      <c r="E195" s="1" t="s">
        <v>17</v>
      </c>
      <c r="F195" s="24">
        <v>34846</v>
      </c>
      <c r="G195" s="11">
        <f t="shared" ca="1" si="3"/>
        <v>29</v>
      </c>
      <c r="H195" s="12">
        <v>3</v>
      </c>
      <c r="I195" s="17">
        <v>96187</v>
      </c>
      <c r="J195" s="50">
        <v>34846</v>
      </c>
    </row>
    <row r="196" spans="1:10" x14ac:dyDescent="0.2">
      <c r="A196" s="1" t="s">
        <v>288</v>
      </c>
      <c r="B196" s="1" t="s">
        <v>21</v>
      </c>
      <c r="C196" s="9">
        <v>405297884</v>
      </c>
      <c r="D196" s="10">
        <v>8096505454</v>
      </c>
      <c r="E196" s="1" t="s">
        <v>22</v>
      </c>
      <c r="F196" s="24">
        <v>36066</v>
      </c>
      <c r="G196" s="11">
        <f t="shared" ca="1" si="3"/>
        <v>26</v>
      </c>
      <c r="H196" s="12">
        <v>3</v>
      </c>
      <c r="I196" s="17">
        <v>95485</v>
      </c>
      <c r="J196" s="50">
        <v>36066</v>
      </c>
    </row>
    <row r="197" spans="1:10" x14ac:dyDescent="0.2">
      <c r="A197" s="1" t="s">
        <v>712</v>
      </c>
      <c r="B197" s="1" t="s">
        <v>21</v>
      </c>
      <c r="C197" s="9">
        <v>512404764</v>
      </c>
      <c r="D197" s="10">
        <v>5068627048</v>
      </c>
      <c r="E197" s="1" t="s">
        <v>22</v>
      </c>
      <c r="F197" s="24">
        <v>36378</v>
      </c>
      <c r="G197" s="11">
        <f t="shared" ca="1" si="3"/>
        <v>25</v>
      </c>
      <c r="H197" s="12">
        <v>5</v>
      </c>
      <c r="I197" s="17">
        <v>95087</v>
      </c>
      <c r="J197" s="50">
        <v>36378</v>
      </c>
    </row>
    <row r="198" spans="1:10" x14ac:dyDescent="0.2">
      <c r="A198" s="1" t="s">
        <v>316</v>
      </c>
      <c r="B198" s="1" t="s">
        <v>21</v>
      </c>
      <c r="C198" s="9">
        <v>870106287</v>
      </c>
      <c r="D198" s="10">
        <v>8116456972</v>
      </c>
      <c r="E198" s="1" t="s">
        <v>22</v>
      </c>
      <c r="F198" s="24">
        <v>35891</v>
      </c>
      <c r="G198" s="11">
        <f t="shared" ca="1" si="3"/>
        <v>26</v>
      </c>
      <c r="H198" s="12">
        <v>5</v>
      </c>
      <c r="I198" s="17">
        <v>94994</v>
      </c>
      <c r="J198" s="50">
        <v>35891</v>
      </c>
    </row>
    <row r="199" spans="1:10" x14ac:dyDescent="0.2">
      <c r="A199" s="1" t="s">
        <v>466</v>
      </c>
      <c r="B199" s="1" t="s">
        <v>21</v>
      </c>
      <c r="C199" s="9">
        <v>445693854</v>
      </c>
      <c r="D199" s="10">
        <v>7127194901</v>
      </c>
      <c r="E199" s="1" t="s">
        <v>17</v>
      </c>
      <c r="F199" s="24">
        <v>39156</v>
      </c>
      <c r="G199" s="11">
        <f t="shared" ca="1" si="3"/>
        <v>17</v>
      </c>
      <c r="H199" s="12">
        <v>3</v>
      </c>
      <c r="I199" s="17">
        <v>93379</v>
      </c>
      <c r="J199" s="50">
        <v>39156</v>
      </c>
    </row>
    <row r="200" spans="1:10" x14ac:dyDescent="0.2">
      <c r="A200" s="1" t="s">
        <v>570</v>
      </c>
      <c r="B200" s="1" t="s">
        <v>21</v>
      </c>
      <c r="C200" s="9">
        <v>515543972</v>
      </c>
      <c r="D200" s="10">
        <v>2138669137</v>
      </c>
      <c r="E200" s="1" t="s">
        <v>22</v>
      </c>
      <c r="F200" s="24">
        <v>40257</v>
      </c>
      <c r="G200" s="11">
        <f t="shared" ca="1" si="3"/>
        <v>14</v>
      </c>
      <c r="H200" s="12">
        <v>5</v>
      </c>
      <c r="I200" s="17">
        <v>92937</v>
      </c>
      <c r="J200" s="50">
        <v>40257</v>
      </c>
    </row>
    <row r="201" spans="1:10" x14ac:dyDescent="0.2">
      <c r="A201" s="1" t="s">
        <v>214</v>
      </c>
      <c r="B201" s="1" t="s">
        <v>21</v>
      </c>
      <c r="C201" s="9">
        <v>198564686</v>
      </c>
      <c r="D201" s="10">
        <v>7152749909</v>
      </c>
      <c r="E201" s="1" t="s">
        <v>22</v>
      </c>
      <c r="F201" s="24">
        <v>40179</v>
      </c>
      <c r="G201" s="11">
        <f t="shared" ca="1" si="3"/>
        <v>15</v>
      </c>
      <c r="H201" s="12">
        <v>3</v>
      </c>
      <c r="I201" s="17">
        <v>92339</v>
      </c>
      <c r="J201" s="50">
        <v>40179</v>
      </c>
    </row>
    <row r="202" spans="1:10" x14ac:dyDescent="0.2">
      <c r="A202" s="1" t="s">
        <v>718</v>
      </c>
      <c r="B202" s="1" t="s">
        <v>21</v>
      </c>
      <c r="C202" s="9">
        <v>751878224</v>
      </c>
      <c r="D202" s="10">
        <v>7194888110</v>
      </c>
      <c r="E202" s="1" t="s">
        <v>22</v>
      </c>
      <c r="F202" s="24">
        <v>39188</v>
      </c>
      <c r="G202" s="11">
        <f t="shared" ca="1" si="3"/>
        <v>17</v>
      </c>
      <c r="H202" s="12">
        <v>1</v>
      </c>
      <c r="I202" s="17">
        <v>91988</v>
      </c>
      <c r="J202" s="50">
        <v>39188</v>
      </c>
    </row>
    <row r="203" spans="1:10" x14ac:dyDescent="0.2">
      <c r="A203" s="1" t="s">
        <v>227</v>
      </c>
      <c r="B203" s="1" t="s">
        <v>21</v>
      </c>
      <c r="C203" s="9">
        <v>262585858</v>
      </c>
      <c r="D203" s="10">
        <v>7063858464</v>
      </c>
      <c r="E203" s="1" t="s">
        <v>22</v>
      </c>
      <c r="F203" s="24">
        <v>36581</v>
      </c>
      <c r="G203" s="11">
        <f t="shared" ca="1" si="3"/>
        <v>24</v>
      </c>
      <c r="H203" s="12">
        <v>3</v>
      </c>
      <c r="I203" s="17">
        <v>91026</v>
      </c>
      <c r="J203" s="50">
        <v>36581</v>
      </c>
    </row>
    <row r="204" spans="1:10" x14ac:dyDescent="0.2">
      <c r="A204" s="1" t="s">
        <v>536</v>
      </c>
      <c r="B204" s="1" t="s">
        <v>21</v>
      </c>
      <c r="C204" s="9">
        <v>380304349</v>
      </c>
      <c r="D204" s="10">
        <v>2196129939</v>
      </c>
      <c r="E204" s="1" t="s">
        <v>22</v>
      </c>
      <c r="F204" s="24">
        <v>40563</v>
      </c>
      <c r="G204" s="11">
        <f t="shared" ca="1" si="3"/>
        <v>14</v>
      </c>
      <c r="H204" s="12">
        <v>3</v>
      </c>
      <c r="I204" s="17">
        <v>90116</v>
      </c>
      <c r="J204" s="50">
        <v>40563</v>
      </c>
    </row>
    <row r="205" spans="1:10" x14ac:dyDescent="0.2">
      <c r="A205" s="1" t="s">
        <v>271</v>
      </c>
      <c r="B205" s="1" t="s">
        <v>21</v>
      </c>
      <c r="C205" s="9">
        <v>948252103</v>
      </c>
      <c r="D205" s="10">
        <v>5137950668</v>
      </c>
      <c r="E205" s="1" t="s">
        <v>22</v>
      </c>
      <c r="F205" s="24">
        <v>38376</v>
      </c>
      <c r="G205" s="11">
        <f t="shared" ca="1" si="3"/>
        <v>20</v>
      </c>
      <c r="H205" s="12">
        <v>3</v>
      </c>
      <c r="I205" s="17">
        <v>89804</v>
      </c>
      <c r="J205" s="50">
        <v>38376</v>
      </c>
    </row>
    <row r="206" spans="1:10" x14ac:dyDescent="0.2">
      <c r="A206" s="1" t="s">
        <v>590</v>
      </c>
      <c r="B206" s="1" t="s">
        <v>21</v>
      </c>
      <c r="C206" s="9">
        <v>984881714</v>
      </c>
      <c r="D206" s="10">
        <v>4148591986</v>
      </c>
      <c r="E206" s="1" t="s">
        <v>22</v>
      </c>
      <c r="F206" s="24">
        <v>37185</v>
      </c>
      <c r="G206" s="11">
        <f t="shared" ca="1" si="3"/>
        <v>23</v>
      </c>
      <c r="H206" s="12">
        <v>1</v>
      </c>
      <c r="I206" s="17">
        <v>89375</v>
      </c>
      <c r="J206" s="50">
        <v>37185</v>
      </c>
    </row>
    <row r="207" spans="1:10" x14ac:dyDescent="0.2">
      <c r="A207" s="1" t="s">
        <v>538</v>
      </c>
      <c r="B207" s="1" t="s">
        <v>21</v>
      </c>
      <c r="C207" s="9">
        <v>892040187</v>
      </c>
      <c r="D207" s="10">
        <v>9146778600</v>
      </c>
      <c r="E207" s="1" t="s">
        <v>22</v>
      </c>
      <c r="F207" s="24">
        <v>39600</v>
      </c>
      <c r="G207" s="11">
        <f t="shared" ca="1" si="3"/>
        <v>16</v>
      </c>
      <c r="H207" s="12">
        <v>4</v>
      </c>
      <c r="I207" s="17">
        <v>89323</v>
      </c>
      <c r="J207" s="50">
        <v>39600</v>
      </c>
    </row>
    <row r="208" spans="1:10" x14ac:dyDescent="0.2">
      <c r="A208" s="1" t="s">
        <v>401</v>
      </c>
      <c r="B208" s="1" t="s">
        <v>21</v>
      </c>
      <c r="C208" s="9">
        <v>312019803</v>
      </c>
      <c r="D208" s="10">
        <v>9044877123</v>
      </c>
      <c r="E208" s="1" t="s">
        <v>17</v>
      </c>
      <c r="F208" s="24">
        <v>37844</v>
      </c>
      <c r="G208" s="11">
        <f t="shared" ca="1" si="3"/>
        <v>21</v>
      </c>
      <c r="H208" s="12">
        <v>5</v>
      </c>
      <c r="I208" s="17">
        <v>89063</v>
      </c>
      <c r="J208" s="50">
        <v>37844</v>
      </c>
    </row>
    <row r="209" spans="1:10" x14ac:dyDescent="0.2">
      <c r="A209" s="1" t="s">
        <v>473</v>
      </c>
      <c r="B209" s="1" t="s">
        <v>21</v>
      </c>
      <c r="C209" s="9">
        <v>551132018</v>
      </c>
      <c r="D209" s="10">
        <v>7081375297</v>
      </c>
      <c r="E209" s="1" t="s">
        <v>22</v>
      </c>
      <c r="F209" s="24">
        <v>37311</v>
      </c>
      <c r="G209" s="11">
        <f t="shared" ca="1" si="3"/>
        <v>22</v>
      </c>
      <c r="H209" s="12">
        <v>3</v>
      </c>
      <c r="I209" s="17">
        <v>87464</v>
      </c>
      <c r="J209" s="50">
        <v>37311</v>
      </c>
    </row>
    <row r="210" spans="1:10" x14ac:dyDescent="0.2">
      <c r="A210" s="1" t="s">
        <v>65</v>
      </c>
      <c r="B210" s="1" t="s">
        <v>21</v>
      </c>
      <c r="C210" s="9">
        <v>458734969</v>
      </c>
      <c r="D210" s="10">
        <v>7087422559</v>
      </c>
      <c r="E210" s="1" t="s">
        <v>22</v>
      </c>
      <c r="F210" s="24">
        <v>35838</v>
      </c>
      <c r="G210" s="11">
        <f t="shared" ca="1" si="3"/>
        <v>26</v>
      </c>
      <c r="H210" s="12">
        <v>4</v>
      </c>
      <c r="I210" s="17">
        <v>87165</v>
      </c>
      <c r="J210" s="50">
        <v>35838</v>
      </c>
    </row>
    <row r="211" spans="1:10" x14ac:dyDescent="0.2">
      <c r="A211" s="1" t="s">
        <v>303</v>
      </c>
      <c r="B211" s="1" t="s">
        <v>21</v>
      </c>
      <c r="C211" s="9">
        <v>910964196</v>
      </c>
      <c r="D211" s="10">
        <v>5147045091</v>
      </c>
      <c r="E211" s="1" t="s">
        <v>22</v>
      </c>
      <c r="F211" s="24">
        <v>36570</v>
      </c>
      <c r="G211" s="11">
        <f t="shared" ca="1" si="3"/>
        <v>24</v>
      </c>
      <c r="H211" s="12">
        <v>2</v>
      </c>
      <c r="I211" s="17">
        <v>86359</v>
      </c>
      <c r="J211" s="50">
        <v>36570</v>
      </c>
    </row>
    <row r="212" spans="1:10" x14ac:dyDescent="0.2">
      <c r="A212" s="1" t="s">
        <v>202</v>
      </c>
      <c r="B212" s="1" t="s">
        <v>21</v>
      </c>
      <c r="C212" s="9">
        <v>854806695</v>
      </c>
      <c r="D212" s="10">
        <v>2126126835</v>
      </c>
      <c r="E212" s="1" t="s">
        <v>17</v>
      </c>
      <c r="F212" s="24">
        <v>36246</v>
      </c>
      <c r="G212" s="11">
        <f t="shared" ca="1" si="3"/>
        <v>25</v>
      </c>
      <c r="H212" s="12">
        <v>2</v>
      </c>
      <c r="I212" s="17">
        <v>85813</v>
      </c>
      <c r="J212" s="50">
        <v>36246</v>
      </c>
    </row>
    <row r="213" spans="1:10" x14ac:dyDescent="0.2">
      <c r="A213" s="1" t="s">
        <v>260</v>
      </c>
      <c r="B213" s="1" t="s">
        <v>21</v>
      </c>
      <c r="C213" s="9">
        <v>771277493</v>
      </c>
      <c r="D213" s="10">
        <v>2185119214</v>
      </c>
      <c r="E213" s="1" t="s">
        <v>22</v>
      </c>
      <c r="F213" s="24">
        <v>37935</v>
      </c>
      <c r="G213" s="11">
        <f t="shared" ca="1" si="3"/>
        <v>21</v>
      </c>
      <c r="H213" s="12">
        <v>5</v>
      </c>
      <c r="I213" s="17">
        <v>85813</v>
      </c>
      <c r="J213" s="50">
        <v>37935</v>
      </c>
    </row>
    <row r="214" spans="1:10" x14ac:dyDescent="0.2">
      <c r="A214" s="1" t="s">
        <v>244</v>
      </c>
      <c r="B214" s="1" t="s">
        <v>21</v>
      </c>
      <c r="C214" s="9">
        <v>828395582</v>
      </c>
      <c r="D214" s="10">
        <v>2185818082</v>
      </c>
      <c r="E214" s="1" t="s">
        <v>22</v>
      </c>
      <c r="F214" s="24">
        <v>39688</v>
      </c>
      <c r="G214" s="11">
        <f t="shared" ca="1" si="3"/>
        <v>16</v>
      </c>
      <c r="H214" s="12">
        <v>1</v>
      </c>
      <c r="I214" s="17">
        <v>85436</v>
      </c>
      <c r="J214" s="50">
        <v>39688</v>
      </c>
    </row>
    <row r="215" spans="1:10" x14ac:dyDescent="0.2">
      <c r="A215" s="1" t="s">
        <v>299</v>
      </c>
      <c r="B215" s="1" t="s">
        <v>21</v>
      </c>
      <c r="C215" s="9">
        <v>247276092</v>
      </c>
      <c r="D215" s="10">
        <v>2193327522</v>
      </c>
      <c r="E215" s="1" t="s">
        <v>17</v>
      </c>
      <c r="F215" s="24">
        <v>34898</v>
      </c>
      <c r="G215" s="11">
        <f t="shared" ca="1" si="3"/>
        <v>29</v>
      </c>
      <c r="H215" s="12">
        <v>4</v>
      </c>
      <c r="I215" s="17">
        <v>83759</v>
      </c>
      <c r="J215" s="50">
        <v>34898</v>
      </c>
    </row>
    <row r="216" spans="1:10" x14ac:dyDescent="0.2">
      <c r="A216" s="1" t="s">
        <v>649</v>
      </c>
      <c r="B216" s="1" t="s">
        <v>21</v>
      </c>
      <c r="C216" s="9">
        <v>248820119</v>
      </c>
      <c r="D216" s="10">
        <v>2133431009</v>
      </c>
      <c r="E216" s="1" t="s">
        <v>17</v>
      </c>
      <c r="F216" s="24">
        <v>38766</v>
      </c>
      <c r="G216" s="11">
        <f t="shared" ca="1" si="3"/>
        <v>18</v>
      </c>
      <c r="H216" s="12">
        <v>5</v>
      </c>
      <c r="I216" s="17">
        <v>83486</v>
      </c>
      <c r="J216" s="50">
        <v>38766</v>
      </c>
    </row>
    <row r="217" spans="1:10" x14ac:dyDescent="0.2">
      <c r="A217" s="1" t="s">
        <v>352</v>
      </c>
      <c r="B217" s="1" t="s">
        <v>21</v>
      </c>
      <c r="C217" s="9">
        <v>536516131</v>
      </c>
      <c r="D217" s="10">
        <v>7021163627</v>
      </c>
      <c r="E217" s="1" t="s">
        <v>22</v>
      </c>
      <c r="F217" s="24">
        <v>38303</v>
      </c>
      <c r="G217" s="11">
        <f t="shared" ca="1" si="3"/>
        <v>20</v>
      </c>
      <c r="H217" s="12">
        <v>1</v>
      </c>
      <c r="I217" s="17">
        <v>83369</v>
      </c>
      <c r="J217" s="50">
        <v>38303</v>
      </c>
    </row>
    <row r="218" spans="1:10" x14ac:dyDescent="0.2">
      <c r="A218" s="1" t="s">
        <v>324</v>
      </c>
      <c r="B218" s="1" t="s">
        <v>21</v>
      </c>
      <c r="C218" s="9">
        <v>650784238</v>
      </c>
      <c r="D218" s="10">
        <v>3033184277</v>
      </c>
      <c r="E218" s="1" t="s">
        <v>17</v>
      </c>
      <c r="F218" s="24">
        <v>40056</v>
      </c>
      <c r="G218" s="11">
        <f t="shared" ca="1" si="3"/>
        <v>15</v>
      </c>
      <c r="H218" s="12">
        <v>2</v>
      </c>
      <c r="I218" s="17">
        <v>83005</v>
      </c>
      <c r="J218" s="50">
        <v>40056</v>
      </c>
    </row>
    <row r="219" spans="1:10" x14ac:dyDescent="0.2">
      <c r="A219" s="1" t="s">
        <v>499</v>
      </c>
      <c r="B219" s="1" t="s">
        <v>21</v>
      </c>
      <c r="C219" s="9">
        <v>707553376</v>
      </c>
      <c r="D219" s="10">
        <v>6044161772</v>
      </c>
      <c r="E219" s="1" t="s">
        <v>17</v>
      </c>
      <c r="F219" s="24">
        <v>35292</v>
      </c>
      <c r="G219" s="11">
        <f t="shared" ca="1" si="3"/>
        <v>28</v>
      </c>
      <c r="H219" s="12">
        <v>3</v>
      </c>
      <c r="I219" s="17">
        <v>82303</v>
      </c>
      <c r="J219" s="50">
        <v>35292</v>
      </c>
    </row>
    <row r="220" spans="1:10" x14ac:dyDescent="0.2">
      <c r="A220" s="1" t="s">
        <v>314</v>
      </c>
      <c r="B220" s="1" t="s">
        <v>21</v>
      </c>
      <c r="C220" s="9">
        <v>399060898</v>
      </c>
      <c r="D220" s="10">
        <v>3046459263</v>
      </c>
      <c r="E220" s="1" t="s">
        <v>22</v>
      </c>
      <c r="F220" s="24">
        <v>35748</v>
      </c>
      <c r="G220" s="11">
        <f t="shared" ca="1" si="3"/>
        <v>27</v>
      </c>
      <c r="H220" s="12">
        <v>1</v>
      </c>
      <c r="I220" s="17">
        <v>81991</v>
      </c>
      <c r="J220" s="50">
        <v>35748</v>
      </c>
    </row>
    <row r="221" spans="1:10" x14ac:dyDescent="0.2">
      <c r="A221" s="1" t="s">
        <v>333</v>
      </c>
      <c r="B221" s="1" t="s">
        <v>21</v>
      </c>
      <c r="C221" s="9">
        <v>214234804</v>
      </c>
      <c r="D221" s="10">
        <v>7112888726</v>
      </c>
      <c r="E221" s="1" t="s">
        <v>17</v>
      </c>
      <c r="F221" s="24">
        <v>40405</v>
      </c>
      <c r="G221" s="11">
        <f t="shared" ca="1" si="3"/>
        <v>14</v>
      </c>
      <c r="H221" s="12">
        <v>4</v>
      </c>
      <c r="I221" s="17">
        <v>81614</v>
      </c>
      <c r="J221" s="50">
        <v>40405</v>
      </c>
    </row>
    <row r="222" spans="1:10" x14ac:dyDescent="0.2">
      <c r="A222" s="1" t="s">
        <v>420</v>
      </c>
      <c r="B222" s="1" t="s">
        <v>21</v>
      </c>
      <c r="C222" s="9">
        <v>339488599</v>
      </c>
      <c r="D222" s="10">
        <v>8025402828</v>
      </c>
      <c r="E222" s="1" t="s">
        <v>22</v>
      </c>
      <c r="F222" s="24">
        <v>38198</v>
      </c>
      <c r="G222" s="11">
        <f t="shared" ca="1" si="3"/>
        <v>20</v>
      </c>
      <c r="H222" s="12">
        <v>3</v>
      </c>
      <c r="I222" s="17">
        <v>81575</v>
      </c>
      <c r="J222" s="50">
        <v>38198</v>
      </c>
    </row>
    <row r="223" spans="1:10" x14ac:dyDescent="0.2">
      <c r="A223" s="1" t="s">
        <v>307</v>
      </c>
      <c r="B223" s="1" t="s">
        <v>21</v>
      </c>
      <c r="C223" s="9">
        <v>772163640</v>
      </c>
      <c r="D223" s="10">
        <v>6075157707</v>
      </c>
      <c r="E223" s="1" t="s">
        <v>17</v>
      </c>
      <c r="F223" s="24">
        <v>38501</v>
      </c>
      <c r="G223" s="11">
        <f t="shared" ca="1" si="3"/>
        <v>19</v>
      </c>
      <c r="H223" s="12">
        <v>3</v>
      </c>
      <c r="I223" s="17">
        <v>79781</v>
      </c>
      <c r="J223" s="50">
        <v>38501</v>
      </c>
    </row>
    <row r="224" spans="1:10" x14ac:dyDescent="0.2">
      <c r="A224" s="1" t="s">
        <v>289</v>
      </c>
      <c r="B224" s="1" t="s">
        <v>21</v>
      </c>
      <c r="C224" s="9">
        <v>364404060</v>
      </c>
      <c r="D224" s="10">
        <v>6195866679</v>
      </c>
      <c r="E224" s="1" t="s">
        <v>22</v>
      </c>
      <c r="F224" s="24">
        <v>37140</v>
      </c>
      <c r="G224" s="11">
        <f t="shared" ca="1" si="3"/>
        <v>23</v>
      </c>
      <c r="H224" s="12">
        <v>4</v>
      </c>
      <c r="I224" s="17">
        <v>79729</v>
      </c>
      <c r="J224" s="50">
        <v>37140</v>
      </c>
    </row>
    <row r="225" spans="1:10" x14ac:dyDescent="0.2">
      <c r="A225" s="1" t="s">
        <v>129</v>
      </c>
      <c r="B225" s="1" t="s">
        <v>21</v>
      </c>
      <c r="C225" s="9">
        <v>380343690</v>
      </c>
      <c r="D225" s="10">
        <v>2156166452</v>
      </c>
      <c r="E225" s="1" t="s">
        <v>22</v>
      </c>
      <c r="F225" s="24">
        <v>36458</v>
      </c>
      <c r="G225" s="11">
        <f t="shared" ca="1" si="3"/>
        <v>25</v>
      </c>
      <c r="H225" s="12">
        <v>2</v>
      </c>
      <c r="I225" s="17">
        <v>79495</v>
      </c>
      <c r="J225" s="50">
        <v>36458</v>
      </c>
    </row>
    <row r="226" spans="1:10" x14ac:dyDescent="0.2">
      <c r="A226" s="1" t="s">
        <v>275</v>
      </c>
      <c r="B226" s="1" t="s">
        <v>21</v>
      </c>
      <c r="C226" s="9">
        <v>451159170</v>
      </c>
      <c r="D226" s="10">
        <v>5197237007</v>
      </c>
      <c r="E226" s="1" t="s">
        <v>22</v>
      </c>
      <c r="F226" s="24">
        <v>39531</v>
      </c>
      <c r="G226" s="11">
        <f t="shared" ca="1" si="3"/>
        <v>16</v>
      </c>
      <c r="H226" s="12">
        <v>5</v>
      </c>
      <c r="I226" s="17">
        <v>79378</v>
      </c>
      <c r="J226" s="50">
        <v>39531</v>
      </c>
    </row>
    <row r="227" spans="1:10" x14ac:dyDescent="0.2">
      <c r="A227" s="1" t="s">
        <v>648</v>
      </c>
      <c r="B227" s="1" t="s">
        <v>21</v>
      </c>
      <c r="C227" s="9">
        <v>918436287</v>
      </c>
      <c r="D227" s="10">
        <v>6147179128</v>
      </c>
      <c r="E227" s="1" t="s">
        <v>22</v>
      </c>
      <c r="F227" s="24">
        <v>34515</v>
      </c>
      <c r="G227" s="11">
        <f t="shared" ca="1" si="3"/>
        <v>30</v>
      </c>
      <c r="H227" s="12">
        <v>4</v>
      </c>
      <c r="I227" s="17">
        <v>78494</v>
      </c>
      <c r="J227" s="50">
        <v>34515</v>
      </c>
    </row>
    <row r="228" spans="1:10" x14ac:dyDescent="0.2">
      <c r="A228" s="1" t="s">
        <v>545</v>
      </c>
      <c r="B228" s="1" t="s">
        <v>21</v>
      </c>
      <c r="C228" s="9">
        <v>618775364</v>
      </c>
      <c r="D228" s="10">
        <v>8052380636</v>
      </c>
      <c r="E228" s="1" t="s">
        <v>22</v>
      </c>
      <c r="F228" s="24">
        <v>36456</v>
      </c>
      <c r="G228" s="11">
        <f t="shared" ca="1" si="3"/>
        <v>25</v>
      </c>
      <c r="H228" s="12">
        <v>1</v>
      </c>
      <c r="I228" s="17">
        <v>78364</v>
      </c>
      <c r="J228" s="50">
        <v>36456</v>
      </c>
    </row>
    <row r="229" spans="1:10" x14ac:dyDescent="0.2">
      <c r="A229" s="1" t="s">
        <v>696</v>
      </c>
      <c r="B229" s="1" t="s">
        <v>21</v>
      </c>
      <c r="C229" s="9">
        <v>436693732</v>
      </c>
      <c r="D229" s="10">
        <v>2117051004</v>
      </c>
      <c r="E229" s="1" t="s">
        <v>22</v>
      </c>
      <c r="F229" s="24">
        <v>36562</v>
      </c>
      <c r="G229" s="11">
        <f t="shared" ca="1" si="3"/>
        <v>24</v>
      </c>
      <c r="H229" s="12">
        <v>1</v>
      </c>
      <c r="I229" s="17">
        <v>78130</v>
      </c>
      <c r="J229" s="50">
        <v>36562</v>
      </c>
    </row>
    <row r="230" spans="1:10" x14ac:dyDescent="0.2">
      <c r="A230" s="1" t="s">
        <v>573</v>
      </c>
      <c r="B230" s="1" t="s">
        <v>21</v>
      </c>
      <c r="C230" s="9">
        <v>920477476</v>
      </c>
      <c r="D230" s="10">
        <v>5137188067</v>
      </c>
      <c r="E230" s="1" t="s">
        <v>17</v>
      </c>
      <c r="F230" s="24">
        <v>40689</v>
      </c>
      <c r="G230" s="11">
        <f t="shared" ca="1" si="3"/>
        <v>13</v>
      </c>
      <c r="H230" s="12">
        <v>5</v>
      </c>
      <c r="I230" s="17">
        <v>78052</v>
      </c>
      <c r="J230" s="50">
        <v>40689</v>
      </c>
    </row>
    <row r="231" spans="1:10" x14ac:dyDescent="0.2">
      <c r="A231" s="1" t="s">
        <v>304</v>
      </c>
      <c r="B231" s="1" t="s">
        <v>21</v>
      </c>
      <c r="C231" s="9">
        <v>393290045</v>
      </c>
      <c r="D231" s="10">
        <v>4086391402</v>
      </c>
      <c r="E231" s="1" t="s">
        <v>22</v>
      </c>
      <c r="F231" s="24">
        <v>40322</v>
      </c>
      <c r="G231" s="11">
        <f t="shared" ca="1" si="3"/>
        <v>14</v>
      </c>
      <c r="H231" s="12">
        <v>4</v>
      </c>
      <c r="I231" s="17">
        <v>77246</v>
      </c>
      <c r="J231" s="50">
        <v>40322</v>
      </c>
    </row>
    <row r="232" spans="1:10" x14ac:dyDescent="0.2">
      <c r="A232" s="1" t="s">
        <v>168</v>
      </c>
      <c r="B232" s="1" t="s">
        <v>21</v>
      </c>
      <c r="C232" s="9">
        <v>385074661</v>
      </c>
      <c r="D232" s="10">
        <v>6116213620</v>
      </c>
      <c r="E232" s="1" t="s">
        <v>17</v>
      </c>
      <c r="F232" s="24">
        <v>39741</v>
      </c>
      <c r="G232" s="11">
        <f t="shared" ca="1" si="3"/>
        <v>16</v>
      </c>
      <c r="H232" s="12">
        <v>4</v>
      </c>
      <c r="I232" s="17">
        <v>77129</v>
      </c>
      <c r="J232" s="50">
        <v>39741</v>
      </c>
    </row>
    <row r="233" spans="1:10" x14ac:dyDescent="0.2">
      <c r="A233" s="1" t="s">
        <v>134</v>
      </c>
      <c r="B233" s="1" t="s">
        <v>21</v>
      </c>
      <c r="C233" s="9">
        <v>647552282</v>
      </c>
      <c r="D233" s="10">
        <v>3013089561</v>
      </c>
      <c r="E233" s="1" t="s">
        <v>22</v>
      </c>
      <c r="F233" s="24">
        <v>36228</v>
      </c>
      <c r="G233" s="11">
        <f t="shared" ca="1" si="3"/>
        <v>25</v>
      </c>
      <c r="H233" s="12">
        <v>4</v>
      </c>
      <c r="I233" s="17">
        <v>77116</v>
      </c>
      <c r="J233" s="50">
        <v>36228</v>
      </c>
    </row>
    <row r="234" spans="1:10" x14ac:dyDescent="0.2">
      <c r="A234" s="1" t="s">
        <v>365</v>
      </c>
      <c r="B234" s="1" t="s">
        <v>21</v>
      </c>
      <c r="C234" s="9">
        <v>425598783</v>
      </c>
      <c r="D234" s="10">
        <v>4176738901</v>
      </c>
      <c r="E234" s="1" t="s">
        <v>22</v>
      </c>
      <c r="F234" s="24">
        <v>34587</v>
      </c>
      <c r="G234" s="11">
        <f t="shared" ca="1" si="3"/>
        <v>30</v>
      </c>
      <c r="H234" s="12">
        <v>1</v>
      </c>
      <c r="I234" s="17">
        <v>76583</v>
      </c>
      <c r="J234" s="50">
        <v>34587</v>
      </c>
    </row>
    <row r="235" spans="1:10" x14ac:dyDescent="0.2">
      <c r="A235" s="1" t="s">
        <v>105</v>
      </c>
      <c r="B235" s="1" t="s">
        <v>21</v>
      </c>
      <c r="C235" s="9">
        <v>319449613</v>
      </c>
      <c r="D235" s="10">
        <v>7035013435</v>
      </c>
      <c r="E235" s="1" t="s">
        <v>17</v>
      </c>
      <c r="F235" s="24">
        <v>37571</v>
      </c>
      <c r="G235" s="11">
        <f t="shared" ca="1" si="3"/>
        <v>22</v>
      </c>
      <c r="H235" s="12">
        <v>3</v>
      </c>
      <c r="I235" s="17">
        <v>75088</v>
      </c>
      <c r="J235" s="50">
        <v>37571</v>
      </c>
    </row>
    <row r="236" spans="1:10" x14ac:dyDescent="0.2">
      <c r="A236" s="1" t="s">
        <v>496</v>
      </c>
      <c r="B236" s="1" t="s">
        <v>21</v>
      </c>
      <c r="C236" s="9">
        <v>528258211</v>
      </c>
      <c r="D236" s="10">
        <v>6198908079</v>
      </c>
      <c r="E236" s="1" t="s">
        <v>17</v>
      </c>
      <c r="F236" s="24">
        <v>37504</v>
      </c>
      <c r="G236" s="11">
        <f t="shared" ca="1" si="3"/>
        <v>22</v>
      </c>
      <c r="H236" s="12">
        <v>3</v>
      </c>
      <c r="I236" s="17">
        <v>74880</v>
      </c>
      <c r="J236" s="50">
        <v>37504</v>
      </c>
    </row>
    <row r="237" spans="1:10" x14ac:dyDescent="0.2">
      <c r="A237" s="1" t="s">
        <v>428</v>
      </c>
      <c r="B237" s="1" t="s">
        <v>21</v>
      </c>
      <c r="C237" s="9">
        <v>963000861</v>
      </c>
      <c r="D237" s="10">
        <v>7148244224</v>
      </c>
      <c r="E237" s="1" t="s">
        <v>17</v>
      </c>
      <c r="F237" s="24">
        <v>38911</v>
      </c>
      <c r="G237" s="11">
        <f t="shared" ca="1" si="3"/>
        <v>18</v>
      </c>
      <c r="H237" s="12">
        <v>2</v>
      </c>
      <c r="I237" s="17">
        <v>74633</v>
      </c>
      <c r="J237" s="50">
        <v>38911</v>
      </c>
    </row>
    <row r="238" spans="1:10" x14ac:dyDescent="0.2">
      <c r="A238" s="1" t="s">
        <v>20</v>
      </c>
      <c r="B238" s="1" t="s">
        <v>21</v>
      </c>
      <c r="C238" s="9">
        <v>336025451</v>
      </c>
      <c r="D238" s="10">
        <v>5185295649</v>
      </c>
      <c r="E238" s="1" t="s">
        <v>22</v>
      </c>
      <c r="F238" s="24">
        <v>34480</v>
      </c>
      <c r="G238" s="56">
        <f t="shared" ca="1" si="3"/>
        <v>30</v>
      </c>
      <c r="H238" s="12">
        <v>5</v>
      </c>
      <c r="I238" s="57">
        <v>73970</v>
      </c>
      <c r="J238" s="50">
        <v>34480</v>
      </c>
    </row>
    <row r="239" spans="1:10" x14ac:dyDescent="0.2">
      <c r="A239" s="1" t="s">
        <v>393</v>
      </c>
      <c r="B239" s="1" t="s">
        <v>21</v>
      </c>
      <c r="C239" s="9">
        <v>443476169</v>
      </c>
      <c r="D239" s="10">
        <v>7037126482</v>
      </c>
      <c r="E239" s="1" t="s">
        <v>22</v>
      </c>
      <c r="F239" s="24">
        <v>36805</v>
      </c>
      <c r="G239" s="11">
        <f t="shared" ca="1" si="3"/>
        <v>24</v>
      </c>
      <c r="H239" s="12">
        <v>5</v>
      </c>
      <c r="I239" s="17">
        <v>72085</v>
      </c>
      <c r="J239" s="50">
        <v>36805</v>
      </c>
    </row>
    <row r="240" spans="1:10" x14ac:dyDescent="0.2">
      <c r="A240" s="1" t="s">
        <v>644</v>
      </c>
      <c r="B240" s="1" t="s">
        <v>21</v>
      </c>
      <c r="C240" s="9">
        <v>350104448</v>
      </c>
      <c r="D240" s="10">
        <v>3155610944</v>
      </c>
      <c r="E240" s="1" t="s">
        <v>22</v>
      </c>
      <c r="F240" s="24">
        <v>38733</v>
      </c>
      <c r="G240" s="11">
        <f t="shared" ca="1" si="3"/>
        <v>19</v>
      </c>
      <c r="H240" s="12">
        <v>5</v>
      </c>
      <c r="I240" s="17">
        <v>70499</v>
      </c>
      <c r="J240" s="50">
        <v>38733</v>
      </c>
    </row>
    <row r="241" spans="1:10" x14ac:dyDescent="0.2">
      <c r="A241" s="1" t="s">
        <v>416</v>
      </c>
      <c r="B241" s="1" t="s">
        <v>21</v>
      </c>
      <c r="C241" s="9">
        <v>332494481</v>
      </c>
      <c r="D241" s="10">
        <v>6125236892</v>
      </c>
      <c r="E241" s="1" t="s">
        <v>17</v>
      </c>
      <c r="F241" s="24">
        <v>36216</v>
      </c>
      <c r="G241" s="11">
        <f t="shared" ca="1" si="3"/>
        <v>25</v>
      </c>
      <c r="H241" s="12">
        <v>4</v>
      </c>
      <c r="I241" s="17">
        <v>68822</v>
      </c>
      <c r="J241" s="50">
        <v>36216</v>
      </c>
    </row>
    <row r="242" spans="1:10" x14ac:dyDescent="0.2">
      <c r="A242" s="1" t="s">
        <v>701</v>
      </c>
      <c r="B242" s="1" t="s">
        <v>21</v>
      </c>
      <c r="C242" s="9">
        <v>694800128</v>
      </c>
      <c r="D242" s="10">
        <v>8153967339</v>
      </c>
      <c r="E242" s="1" t="s">
        <v>22</v>
      </c>
      <c r="F242" s="24">
        <v>34498</v>
      </c>
      <c r="G242" s="11">
        <f t="shared" ca="1" si="3"/>
        <v>30</v>
      </c>
      <c r="H242" s="12">
        <v>4</v>
      </c>
      <c r="I242" s="17">
        <v>68822</v>
      </c>
      <c r="J242" s="50">
        <v>34498</v>
      </c>
    </row>
    <row r="243" spans="1:10" x14ac:dyDescent="0.2">
      <c r="A243" s="1" t="s">
        <v>540</v>
      </c>
      <c r="B243" s="1" t="s">
        <v>21</v>
      </c>
      <c r="C243" s="9">
        <v>506165137</v>
      </c>
      <c r="D243" s="10">
        <v>5048560698</v>
      </c>
      <c r="E243" s="1" t="s">
        <v>17</v>
      </c>
      <c r="F243" s="24">
        <v>38193</v>
      </c>
      <c r="G243" s="11">
        <f t="shared" ca="1" si="3"/>
        <v>20</v>
      </c>
      <c r="H243" s="12">
        <v>2</v>
      </c>
      <c r="I243" s="17">
        <v>68601</v>
      </c>
      <c r="J243" s="50">
        <v>38193</v>
      </c>
    </row>
    <row r="244" spans="1:10" x14ac:dyDescent="0.2">
      <c r="A244" s="1" t="s">
        <v>55</v>
      </c>
      <c r="B244" s="1" t="s">
        <v>21</v>
      </c>
      <c r="C244" s="9">
        <v>272036635</v>
      </c>
      <c r="D244" s="10">
        <v>3013938131</v>
      </c>
      <c r="E244" s="1" t="s">
        <v>17</v>
      </c>
      <c r="F244" s="24">
        <v>34686</v>
      </c>
      <c r="G244" s="11">
        <f t="shared" ca="1" si="3"/>
        <v>30</v>
      </c>
      <c r="H244" s="12">
        <v>2</v>
      </c>
      <c r="I244" s="17">
        <v>64389</v>
      </c>
      <c r="J244" s="50">
        <v>34686</v>
      </c>
    </row>
    <row r="245" spans="1:10" x14ac:dyDescent="0.2">
      <c r="A245" s="1" t="s">
        <v>453</v>
      </c>
      <c r="B245" s="1" t="s">
        <v>21</v>
      </c>
      <c r="C245" s="9">
        <v>296641985</v>
      </c>
      <c r="D245" s="10">
        <v>4174618773</v>
      </c>
      <c r="E245" s="1" t="s">
        <v>33</v>
      </c>
      <c r="F245" s="24">
        <v>36674</v>
      </c>
      <c r="G245" s="11">
        <f t="shared" ca="1" si="3"/>
        <v>24</v>
      </c>
      <c r="H245" s="12">
        <v>5</v>
      </c>
      <c r="I245" s="17">
        <v>63486</v>
      </c>
      <c r="J245" s="50">
        <v>36674</v>
      </c>
    </row>
    <row r="246" spans="1:10" x14ac:dyDescent="0.2">
      <c r="A246" s="1" t="s">
        <v>126</v>
      </c>
      <c r="B246" s="1" t="s">
        <v>21</v>
      </c>
      <c r="C246" s="9">
        <v>557568959</v>
      </c>
      <c r="D246" s="10">
        <v>2151487375</v>
      </c>
      <c r="E246" s="1" t="s">
        <v>33</v>
      </c>
      <c r="F246" s="24">
        <v>37136</v>
      </c>
      <c r="G246" s="11">
        <f t="shared" ca="1" si="3"/>
        <v>23</v>
      </c>
      <c r="H246" s="12">
        <v>1</v>
      </c>
      <c r="I246" s="17">
        <v>62647</v>
      </c>
      <c r="J246" s="50">
        <v>37136</v>
      </c>
    </row>
    <row r="247" spans="1:10" x14ac:dyDescent="0.2">
      <c r="A247" s="1" t="s">
        <v>532</v>
      </c>
      <c r="B247" s="1" t="s">
        <v>21</v>
      </c>
      <c r="C247" s="9">
        <v>723066626</v>
      </c>
      <c r="D247" s="10">
        <v>8064518022</v>
      </c>
      <c r="E247" s="1" t="s">
        <v>22</v>
      </c>
      <c r="F247" s="24">
        <v>41501</v>
      </c>
      <c r="G247" s="11">
        <f t="shared" ca="1" si="3"/>
        <v>11</v>
      </c>
      <c r="H247" s="12">
        <v>3</v>
      </c>
      <c r="I247" s="17">
        <v>61672</v>
      </c>
      <c r="J247" s="50">
        <v>41501</v>
      </c>
    </row>
    <row r="248" spans="1:10" x14ac:dyDescent="0.2">
      <c r="A248" s="1" t="s">
        <v>348</v>
      </c>
      <c r="B248" s="1" t="s">
        <v>21</v>
      </c>
      <c r="C248" s="9">
        <v>733358713</v>
      </c>
      <c r="D248" s="10">
        <v>9024626281</v>
      </c>
      <c r="E248" s="1" t="s">
        <v>22</v>
      </c>
      <c r="F248" s="24">
        <v>39013</v>
      </c>
      <c r="G248" s="11">
        <f t="shared" ca="1" si="3"/>
        <v>18</v>
      </c>
      <c r="H248" s="12">
        <v>2</v>
      </c>
      <c r="I248" s="17">
        <v>61542</v>
      </c>
      <c r="J248" s="50">
        <v>39013</v>
      </c>
    </row>
    <row r="249" spans="1:10" x14ac:dyDescent="0.2">
      <c r="A249" s="1" t="s">
        <v>541</v>
      </c>
      <c r="B249" s="1" t="s">
        <v>21</v>
      </c>
      <c r="C249" s="9">
        <v>378189642</v>
      </c>
      <c r="D249" s="10">
        <v>6066088101</v>
      </c>
      <c r="E249" s="1" t="s">
        <v>33</v>
      </c>
      <c r="F249" s="24">
        <v>37471</v>
      </c>
      <c r="G249" s="11">
        <f t="shared" ca="1" si="3"/>
        <v>22</v>
      </c>
      <c r="H249" s="12">
        <v>3</v>
      </c>
      <c r="I249" s="17">
        <v>60723</v>
      </c>
      <c r="J249" s="50">
        <v>37471</v>
      </c>
    </row>
    <row r="250" spans="1:10" x14ac:dyDescent="0.2">
      <c r="A250" s="1" t="s">
        <v>412</v>
      </c>
      <c r="B250" s="1" t="s">
        <v>21</v>
      </c>
      <c r="C250" s="9">
        <v>247555666</v>
      </c>
      <c r="D250" s="10">
        <v>5183383207</v>
      </c>
      <c r="E250" s="1" t="s">
        <v>33</v>
      </c>
      <c r="F250" s="24">
        <v>36210</v>
      </c>
      <c r="G250" s="11">
        <f t="shared" ca="1" si="3"/>
        <v>25</v>
      </c>
      <c r="H250" s="12">
        <v>5</v>
      </c>
      <c r="I250" s="17">
        <v>60639</v>
      </c>
      <c r="J250" s="50">
        <v>36210</v>
      </c>
    </row>
    <row r="251" spans="1:10" x14ac:dyDescent="0.2">
      <c r="A251" s="1" t="s">
        <v>658</v>
      </c>
      <c r="B251" s="1" t="s">
        <v>21</v>
      </c>
      <c r="C251" s="9">
        <v>993867417</v>
      </c>
      <c r="D251" s="10">
        <v>3058865267</v>
      </c>
      <c r="E251" s="1" t="s">
        <v>33</v>
      </c>
      <c r="F251" s="24">
        <v>36056</v>
      </c>
      <c r="G251" s="11">
        <f t="shared" ca="1" si="3"/>
        <v>26</v>
      </c>
      <c r="H251" s="12">
        <v>5</v>
      </c>
      <c r="I251" s="17">
        <v>60171</v>
      </c>
      <c r="J251" s="50">
        <v>36056</v>
      </c>
    </row>
    <row r="252" spans="1:10" x14ac:dyDescent="0.2">
      <c r="A252" s="1" t="s">
        <v>632</v>
      </c>
      <c r="B252" s="1" t="s">
        <v>21</v>
      </c>
      <c r="C252" s="9">
        <v>558903229</v>
      </c>
      <c r="D252" s="10">
        <v>9091509619</v>
      </c>
      <c r="E252" s="1" t="s">
        <v>22</v>
      </c>
      <c r="F252" s="24">
        <v>40215</v>
      </c>
      <c r="G252" s="11">
        <f t="shared" ca="1" si="3"/>
        <v>14</v>
      </c>
      <c r="H252" s="12">
        <v>2</v>
      </c>
      <c r="I252" s="17">
        <v>60086</v>
      </c>
      <c r="J252" s="50">
        <v>40215</v>
      </c>
    </row>
    <row r="253" spans="1:10" x14ac:dyDescent="0.2">
      <c r="A253" s="1" t="s">
        <v>287</v>
      </c>
      <c r="B253" s="1" t="s">
        <v>21</v>
      </c>
      <c r="C253" s="9">
        <v>676030562</v>
      </c>
      <c r="D253" s="10">
        <v>4043613417</v>
      </c>
      <c r="E253" s="1" t="s">
        <v>17</v>
      </c>
      <c r="F253" s="24">
        <v>35016</v>
      </c>
      <c r="G253" s="11">
        <f t="shared" ca="1" si="3"/>
        <v>29</v>
      </c>
      <c r="H253" s="12">
        <v>5</v>
      </c>
      <c r="I253" s="17">
        <v>59501</v>
      </c>
      <c r="J253" s="50">
        <v>35016</v>
      </c>
    </row>
    <row r="254" spans="1:10" x14ac:dyDescent="0.2">
      <c r="A254" s="1" t="s">
        <v>308</v>
      </c>
      <c r="B254" s="1" t="s">
        <v>21</v>
      </c>
      <c r="C254" s="9">
        <v>518690148</v>
      </c>
      <c r="D254" s="10">
        <v>2148687353</v>
      </c>
      <c r="E254" s="1" t="s">
        <v>22</v>
      </c>
      <c r="F254" s="24">
        <v>34860</v>
      </c>
      <c r="G254" s="11">
        <f t="shared" ca="1" si="3"/>
        <v>29</v>
      </c>
      <c r="H254" s="12">
        <v>3</v>
      </c>
      <c r="I254" s="17">
        <v>59150</v>
      </c>
      <c r="J254" s="50">
        <v>34860</v>
      </c>
    </row>
    <row r="255" spans="1:10" x14ac:dyDescent="0.2">
      <c r="A255" s="1" t="s">
        <v>76</v>
      </c>
      <c r="B255" s="1" t="s">
        <v>21</v>
      </c>
      <c r="C255" s="9">
        <v>719165738</v>
      </c>
      <c r="D255" s="10">
        <v>7074402150</v>
      </c>
      <c r="E255" s="1" t="s">
        <v>22</v>
      </c>
      <c r="F255" s="24">
        <v>36223</v>
      </c>
      <c r="G255" s="11">
        <f t="shared" ca="1" si="3"/>
        <v>25</v>
      </c>
      <c r="H255" s="12">
        <v>4</v>
      </c>
      <c r="I255" s="17">
        <v>59124</v>
      </c>
      <c r="J255" s="50">
        <v>36223</v>
      </c>
    </row>
    <row r="256" spans="1:10" x14ac:dyDescent="0.2">
      <c r="A256" s="1" t="s">
        <v>53</v>
      </c>
      <c r="B256" s="1" t="s">
        <v>21</v>
      </c>
      <c r="C256" s="9">
        <v>788832967</v>
      </c>
      <c r="D256" s="10">
        <v>7025299873</v>
      </c>
      <c r="E256" s="1" t="s">
        <v>17</v>
      </c>
      <c r="F256" s="24">
        <v>37596</v>
      </c>
      <c r="G256" s="11">
        <f t="shared" ca="1" si="3"/>
        <v>22</v>
      </c>
      <c r="H256" s="12">
        <v>1</v>
      </c>
      <c r="I256" s="17">
        <v>59046</v>
      </c>
      <c r="J256" s="50">
        <v>37596</v>
      </c>
    </row>
    <row r="257" spans="1:10" x14ac:dyDescent="0.2">
      <c r="A257" s="1" t="s">
        <v>494</v>
      </c>
      <c r="B257" s="1" t="s">
        <v>21</v>
      </c>
      <c r="C257" s="9">
        <v>242099349</v>
      </c>
      <c r="D257" s="10">
        <v>7063173691</v>
      </c>
      <c r="E257" s="1" t="s">
        <v>22</v>
      </c>
      <c r="F257" s="24">
        <v>36396</v>
      </c>
      <c r="G257" s="11">
        <f t="shared" ca="1" si="3"/>
        <v>25</v>
      </c>
      <c r="H257" s="12">
        <v>1</v>
      </c>
      <c r="I257" s="17">
        <v>58396</v>
      </c>
      <c r="J257" s="50">
        <v>36396</v>
      </c>
    </row>
    <row r="258" spans="1:10" x14ac:dyDescent="0.2">
      <c r="A258" s="1" t="s">
        <v>670</v>
      </c>
      <c r="B258" s="1" t="s">
        <v>21</v>
      </c>
      <c r="C258" s="9">
        <v>750722934</v>
      </c>
      <c r="D258" s="10">
        <v>5034794769</v>
      </c>
      <c r="E258" s="1" t="s">
        <v>22</v>
      </c>
      <c r="F258" s="24">
        <v>36055</v>
      </c>
      <c r="G258" s="11">
        <f t="shared" ref="G258:G321" ca="1" si="4">DATEDIF(F258,TODAY(),"Y")</f>
        <v>26</v>
      </c>
      <c r="H258" s="12">
        <v>2</v>
      </c>
      <c r="I258" s="17">
        <v>57551</v>
      </c>
      <c r="J258" s="50">
        <v>36055</v>
      </c>
    </row>
    <row r="259" spans="1:10" x14ac:dyDescent="0.2">
      <c r="A259" s="1" t="s">
        <v>747</v>
      </c>
      <c r="B259" s="1" t="s">
        <v>21</v>
      </c>
      <c r="C259" s="9">
        <v>561737107</v>
      </c>
      <c r="D259" s="10">
        <v>7151559081</v>
      </c>
      <c r="E259" s="1" t="s">
        <v>22</v>
      </c>
      <c r="F259" s="24">
        <v>41470</v>
      </c>
      <c r="G259" s="11">
        <f t="shared" ca="1" si="4"/>
        <v>11</v>
      </c>
      <c r="H259" s="12">
        <v>1</v>
      </c>
      <c r="I259" s="17">
        <v>57538</v>
      </c>
      <c r="J259" s="50">
        <v>41470</v>
      </c>
    </row>
    <row r="260" spans="1:10" x14ac:dyDescent="0.2">
      <c r="A260" s="1" t="s">
        <v>517</v>
      </c>
      <c r="B260" s="1" t="s">
        <v>21</v>
      </c>
      <c r="C260" s="9">
        <v>338977629</v>
      </c>
      <c r="D260" s="10">
        <v>6065368383</v>
      </c>
      <c r="E260" s="1" t="s">
        <v>22</v>
      </c>
      <c r="F260" s="24">
        <v>41445</v>
      </c>
      <c r="G260" s="11">
        <f t="shared" ca="1" si="4"/>
        <v>11</v>
      </c>
      <c r="H260" s="12">
        <v>2</v>
      </c>
      <c r="I260" s="17">
        <v>56966</v>
      </c>
      <c r="J260" s="50">
        <v>41445</v>
      </c>
    </row>
    <row r="261" spans="1:10" x14ac:dyDescent="0.2">
      <c r="A261" s="1" t="s">
        <v>643</v>
      </c>
      <c r="B261" s="1" t="s">
        <v>21</v>
      </c>
      <c r="C261" s="9">
        <v>980960186</v>
      </c>
      <c r="D261" s="10">
        <v>3038451642</v>
      </c>
      <c r="E261" s="1" t="s">
        <v>17</v>
      </c>
      <c r="F261" s="24">
        <v>37467</v>
      </c>
      <c r="G261" s="11">
        <f t="shared" ca="1" si="4"/>
        <v>22</v>
      </c>
      <c r="H261" s="12">
        <v>2</v>
      </c>
      <c r="I261" s="17">
        <v>54392</v>
      </c>
      <c r="J261" s="50">
        <v>37467</v>
      </c>
    </row>
    <row r="262" spans="1:10" x14ac:dyDescent="0.2">
      <c r="A262" s="1" t="s">
        <v>456</v>
      </c>
      <c r="B262" s="1" t="s">
        <v>21</v>
      </c>
      <c r="C262" s="9">
        <v>552528553</v>
      </c>
      <c r="D262" s="10">
        <v>5161376854</v>
      </c>
      <c r="E262" s="1" t="s">
        <v>33</v>
      </c>
      <c r="F262" s="24">
        <v>37370</v>
      </c>
      <c r="G262" s="11">
        <f t="shared" ca="1" si="4"/>
        <v>22</v>
      </c>
      <c r="H262" s="12">
        <v>1</v>
      </c>
      <c r="I262" s="17">
        <v>54100</v>
      </c>
      <c r="J262" s="50">
        <v>37370</v>
      </c>
    </row>
    <row r="263" spans="1:10" x14ac:dyDescent="0.2">
      <c r="A263" s="1" t="s">
        <v>474</v>
      </c>
      <c r="B263" s="1" t="s">
        <v>21</v>
      </c>
      <c r="C263" s="9">
        <v>518009092</v>
      </c>
      <c r="D263" s="10">
        <v>6038678875</v>
      </c>
      <c r="E263" s="1" t="s">
        <v>22</v>
      </c>
      <c r="F263" s="24">
        <v>39244</v>
      </c>
      <c r="G263" s="11">
        <f t="shared" ca="1" si="4"/>
        <v>17</v>
      </c>
      <c r="H263" s="12">
        <v>3</v>
      </c>
      <c r="I263" s="17">
        <v>53378</v>
      </c>
      <c r="J263" s="50">
        <v>39244</v>
      </c>
    </row>
    <row r="264" spans="1:10" x14ac:dyDescent="0.2">
      <c r="A264" s="1" t="s">
        <v>353</v>
      </c>
      <c r="B264" s="1" t="s">
        <v>21</v>
      </c>
      <c r="C264" s="9">
        <v>269873478</v>
      </c>
      <c r="D264" s="10">
        <v>7063922629</v>
      </c>
      <c r="E264" s="1" t="s">
        <v>17</v>
      </c>
      <c r="F264" s="24">
        <v>39374</v>
      </c>
      <c r="G264" s="11">
        <f t="shared" ca="1" si="4"/>
        <v>17</v>
      </c>
      <c r="H264" s="12">
        <v>2</v>
      </c>
      <c r="I264" s="17">
        <v>53222</v>
      </c>
      <c r="J264" s="50">
        <v>39374</v>
      </c>
    </row>
    <row r="265" spans="1:10" x14ac:dyDescent="0.2">
      <c r="A265" s="1" t="s">
        <v>638</v>
      </c>
      <c r="B265" s="1" t="s">
        <v>21</v>
      </c>
      <c r="C265" s="9">
        <v>425943144</v>
      </c>
      <c r="D265" s="10">
        <v>2136742736</v>
      </c>
      <c r="E265" s="1" t="s">
        <v>22</v>
      </c>
      <c r="F265" s="24">
        <v>36863</v>
      </c>
      <c r="G265" s="11">
        <f t="shared" ca="1" si="4"/>
        <v>24</v>
      </c>
      <c r="H265" s="12">
        <v>2</v>
      </c>
      <c r="I265" s="17">
        <v>52442</v>
      </c>
      <c r="J265" s="50">
        <v>36863</v>
      </c>
    </row>
    <row r="266" spans="1:10" x14ac:dyDescent="0.2">
      <c r="A266" s="1" t="s">
        <v>553</v>
      </c>
      <c r="B266" s="1" t="s">
        <v>21</v>
      </c>
      <c r="C266" s="9">
        <v>649234799</v>
      </c>
      <c r="D266" s="10">
        <v>5073164024</v>
      </c>
      <c r="E266" s="1" t="s">
        <v>22</v>
      </c>
      <c r="F266" s="24">
        <v>37280</v>
      </c>
      <c r="G266" s="11">
        <f t="shared" ca="1" si="4"/>
        <v>23</v>
      </c>
      <c r="H266" s="12">
        <v>3</v>
      </c>
      <c r="I266" s="17">
        <v>52078</v>
      </c>
      <c r="J266" s="50">
        <v>37280</v>
      </c>
    </row>
    <row r="267" spans="1:10" x14ac:dyDescent="0.2">
      <c r="A267" s="1" t="s">
        <v>715</v>
      </c>
      <c r="B267" s="1" t="s">
        <v>21</v>
      </c>
      <c r="C267" s="9">
        <v>474117484</v>
      </c>
      <c r="D267" s="10">
        <v>3037780776</v>
      </c>
      <c r="E267" s="1" t="s">
        <v>17</v>
      </c>
      <c r="F267" s="24">
        <v>39404</v>
      </c>
      <c r="G267" s="11">
        <f t="shared" ca="1" si="4"/>
        <v>17</v>
      </c>
      <c r="H267" s="12">
        <v>1</v>
      </c>
      <c r="I267" s="17">
        <v>51584</v>
      </c>
      <c r="J267" s="50">
        <v>39404</v>
      </c>
    </row>
    <row r="268" spans="1:10" x14ac:dyDescent="0.2">
      <c r="A268" s="1" t="s">
        <v>109</v>
      </c>
      <c r="B268" s="1" t="s">
        <v>21</v>
      </c>
      <c r="C268" s="9">
        <v>917714039</v>
      </c>
      <c r="D268" s="10">
        <v>3037173558</v>
      </c>
      <c r="E268" s="1" t="s">
        <v>22</v>
      </c>
      <c r="F268" s="24">
        <v>36178</v>
      </c>
      <c r="G268" s="11">
        <f t="shared" ca="1" si="4"/>
        <v>26</v>
      </c>
      <c r="H268" s="12">
        <v>5</v>
      </c>
      <c r="I268" s="17">
        <v>51376</v>
      </c>
      <c r="J268" s="50">
        <v>36178</v>
      </c>
    </row>
    <row r="269" spans="1:10" x14ac:dyDescent="0.2">
      <c r="A269" s="1" t="s">
        <v>100</v>
      </c>
      <c r="B269" s="1" t="s">
        <v>21</v>
      </c>
      <c r="C269" s="9">
        <v>984570981</v>
      </c>
      <c r="D269" s="10">
        <v>7168561612</v>
      </c>
      <c r="E269" s="1" t="s">
        <v>17</v>
      </c>
      <c r="F269" s="24">
        <v>38940</v>
      </c>
      <c r="G269" s="11">
        <f t="shared" ca="1" si="4"/>
        <v>18</v>
      </c>
      <c r="H269" s="12">
        <v>2</v>
      </c>
      <c r="I269" s="17">
        <v>51090</v>
      </c>
      <c r="J269" s="50">
        <v>38940</v>
      </c>
    </row>
    <row r="270" spans="1:10" x14ac:dyDescent="0.2">
      <c r="A270" s="1" t="s">
        <v>198</v>
      </c>
      <c r="B270" s="1" t="s">
        <v>21</v>
      </c>
      <c r="C270" s="9">
        <v>687623890</v>
      </c>
      <c r="D270" s="10">
        <v>3063876146</v>
      </c>
      <c r="E270" s="1" t="s">
        <v>22</v>
      </c>
      <c r="F270" s="24">
        <v>35887</v>
      </c>
      <c r="G270" s="11">
        <f t="shared" ca="1" si="4"/>
        <v>26</v>
      </c>
      <c r="H270" s="12">
        <v>2</v>
      </c>
      <c r="I270" s="17">
        <v>50622</v>
      </c>
      <c r="J270" s="50">
        <v>35887</v>
      </c>
    </row>
    <row r="271" spans="1:10" x14ac:dyDescent="0.2">
      <c r="A271" s="1" t="s">
        <v>729</v>
      </c>
      <c r="B271" s="1" t="s">
        <v>21</v>
      </c>
      <c r="C271" s="9">
        <v>477110649</v>
      </c>
      <c r="D271" s="10">
        <v>7097925201</v>
      </c>
      <c r="E271" s="1" t="s">
        <v>22</v>
      </c>
      <c r="F271" s="24">
        <v>37574</v>
      </c>
      <c r="G271" s="11">
        <f t="shared" ca="1" si="4"/>
        <v>22</v>
      </c>
      <c r="H271" s="12">
        <v>2</v>
      </c>
      <c r="I271" s="17">
        <v>50531</v>
      </c>
      <c r="J271" s="50">
        <v>37574</v>
      </c>
    </row>
    <row r="272" spans="1:10" x14ac:dyDescent="0.2">
      <c r="A272" s="1" t="s">
        <v>684</v>
      </c>
      <c r="B272" s="1" t="s">
        <v>21</v>
      </c>
      <c r="C272" s="9">
        <v>331251341</v>
      </c>
      <c r="D272" s="10">
        <v>2165202015</v>
      </c>
      <c r="E272" s="1" t="s">
        <v>17</v>
      </c>
      <c r="F272" s="24">
        <v>39188</v>
      </c>
      <c r="G272" s="11">
        <f t="shared" ca="1" si="4"/>
        <v>17</v>
      </c>
      <c r="H272" s="12">
        <v>4</v>
      </c>
      <c r="I272" s="17">
        <v>49374</v>
      </c>
      <c r="J272" s="50">
        <v>39188</v>
      </c>
    </row>
    <row r="273" spans="1:10" x14ac:dyDescent="0.2">
      <c r="A273" s="1" t="s">
        <v>190</v>
      </c>
      <c r="B273" s="1" t="s">
        <v>21</v>
      </c>
      <c r="C273" s="9">
        <v>824046378</v>
      </c>
      <c r="D273" s="10">
        <v>5195770085</v>
      </c>
      <c r="E273" s="1" t="s">
        <v>22</v>
      </c>
      <c r="F273" s="24">
        <v>37199</v>
      </c>
      <c r="G273" s="11">
        <f t="shared" ca="1" si="4"/>
        <v>23</v>
      </c>
      <c r="H273" s="12">
        <v>2</v>
      </c>
      <c r="I273" s="17">
        <v>49088</v>
      </c>
      <c r="J273" s="50">
        <v>37199</v>
      </c>
    </row>
    <row r="274" spans="1:10" x14ac:dyDescent="0.2">
      <c r="A274" s="1" t="s">
        <v>323</v>
      </c>
      <c r="B274" s="1" t="s">
        <v>21</v>
      </c>
      <c r="C274" s="9">
        <v>313651312</v>
      </c>
      <c r="D274" s="10">
        <v>8064924736</v>
      </c>
      <c r="E274" s="1" t="s">
        <v>81</v>
      </c>
      <c r="F274" s="24">
        <v>36934</v>
      </c>
      <c r="G274" s="11">
        <f t="shared" ca="1" si="4"/>
        <v>23</v>
      </c>
      <c r="H274" s="12">
        <v>4</v>
      </c>
      <c r="I274" s="17">
        <v>48896</v>
      </c>
      <c r="J274" s="50">
        <v>36934</v>
      </c>
    </row>
    <row r="275" spans="1:10" x14ac:dyDescent="0.2">
      <c r="A275" s="1" t="s">
        <v>736</v>
      </c>
      <c r="B275" s="1" t="s">
        <v>21</v>
      </c>
      <c r="C275" s="9">
        <v>122440839</v>
      </c>
      <c r="D275" s="10">
        <v>9091593705</v>
      </c>
      <c r="E275" s="1" t="s">
        <v>22</v>
      </c>
      <c r="F275" s="24">
        <v>37298</v>
      </c>
      <c r="G275" s="11">
        <f t="shared" ca="1" si="4"/>
        <v>22</v>
      </c>
      <c r="H275" s="12">
        <v>2</v>
      </c>
      <c r="I275" s="17">
        <v>46566</v>
      </c>
      <c r="J275" s="50">
        <v>37298</v>
      </c>
    </row>
    <row r="276" spans="1:10" x14ac:dyDescent="0.2">
      <c r="A276" s="1" t="s">
        <v>407</v>
      </c>
      <c r="B276" s="1" t="s">
        <v>21</v>
      </c>
      <c r="C276" s="9">
        <v>502200672</v>
      </c>
      <c r="D276" s="10">
        <v>7168439277</v>
      </c>
      <c r="E276" s="1" t="s">
        <v>22</v>
      </c>
      <c r="F276" s="24">
        <v>41070</v>
      </c>
      <c r="G276" s="11">
        <f t="shared" ca="1" si="4"/>
        <v>12</v>
      </c>
      <c r="H276" s="12">
        <v>5</v>
      </c>
      <c r="I276" s="17">
        <v>46280</v>
      </c>
      <c r="J276" s="50">
        <v>41070</v>
      </c>
    </row>
    <row r="277" spans="1:10" x14ac:dyDescent="0.2">
      <c r="A277" s="1" t="s">
        <v>41</v>
      </c>
      <c r="B277" s="1" t="s">
        <v>21</v>
      </c>
      <c r="C277" s="9">
        <v>378281658</v>
      </c>
      <c r="D277" s="10">
        <v>2176092172</v>
      </c>
      <c r="E277" s="1" t="s">
        <v>22</v>
      </c>
      <c r="F277" s="24">
        <v>36697</v>
      </c>
      <c r="G277" s="11">
        <f t="shared" ca="1" si="4"/>
        <v>24</v>
      </c>
      <c r="H277" s="12">
        <v>5</v>
      </c>
      <c r="I277" s="17">
        <v>46098</v>
      </c>
      <c r="J277" s="50">
        <v>36697</v>
      </c>
    </row>
    <row r="278" spans="1:10" x14ac:dyDescent="0.2">
      <c r="A278" s="1" t="s">
        <v>269</v>
      </c>
      <c r="B278" s="1" t="s">
        <v>21</v>
      </c>
      <c r="C278" s="9">
        <v>595022550</v>
      </c>
      <c r="D278" s="10">
        <v>8162053579</v>
      </c>
      <c r="E278" s="1" t="s">
        <v>17</v>
      </c>
      <c r="F278" s="24">
        <v>35132</v>
      </c>
      <c r="G278" s="11">
        <f t="shared" ca="1" si="4"/>
        <v>28</v>
      </c>
      <c r="H278" s="12">
        <v>3</v>
      </c>
      <c r="I278" s="17">
        <v>46098</v>
      </c>
      <c r="J278" s="50">
        <v>35132</v>
      </c>
    </row>
    <row r="279" spans="1:10" x14ac:dyDescent="0.2">
      <c r="A279" s="1" t="s">
        <v>262</v>
      </c>
      <c r="B279" s="1" t="s">
        <v>21</v>
      </c>
      <c r="C279" s="9">
        <v>620336005</v>
      </c>
      <c r="D279" s="10">
        <v>8032416398</v>
      </c>
      <c r="E279" s="1" t="s">
        <v>22</v>
      </c>
      <c r="F279" s="24">
        <v>41137</v>
      </c>
      <c r="G279" s="11">
        <f t="shared" ca="1" si="4"/>
        <v>12</v>
      </c>
      <c r="H279" s="12">
        <v>5</v>
      </c>
      <c r="I279" s="17">
        <v>45890</v>
      </c>
      <c r="J279" s="50">
        <v>41137</v>
      </c>
    </row>
    <row r="280" spans="1:10" x14ac:dyDescent="0.2">
      <c r="A280" s="1" t="s">
        <v>25</v>
      </c>
      <c r="B280" s="1" t="s">
        <v>21</v>
      </c>
      <c r="C280" s="9">
        <v>894030119</v>
      </c>
      <c r="D280" s="10">
        <v>6126795200</v>
      </c>
      <c r="E280" s="1" t="s">
        <v>22</v>
      </c>
      <c r="F280" s="24">
        <v>42503</v>
      </c>
      <c r="G280" s="11">
        <f t="shared" ca="1" si="4"/>
        <v>8</v>
      </c>
      <c r="H280" s="12">
        <v>2</v>
      </c>
      <c r="I280" s="17">
        <v>45097</v>
      </c>
      <c r="J280" s="50">
        <v>42503</v>
      </c>
    </row>
    <row r="281" spans="1:10" x14ac:dyDescent="0.2">
      <c r="A281" s="1" t="s">
        <v>284</v>
      </c>
      <c r="B281" s="1" t="s">
        <v>21</v>
      </c>
      <c r="C281" s="9">
        <v>247406371</v>
      </c>
      <c r="D281" s="10">
        <v>6133355100</v>
      </c>
      <c r="E281" s="1" t="s">
        <v>22</v>
      </c>
      <c r="F281" s="24">
        <v>35408</v>
      </c>
      <c r="G281" s="11">
        <f t="shared" ca="1" si="4"/>
        <v>28</v>
      </c>
      <c r="H281" s="12">
        <v>3</v>
      </c>
      <c r="I281" s="17">
        <v>44824</v>
      </c>
      <c r="J281" s="50">
        <v>35408</v>
      </c>
    </row>
    <row r="282" spans="1:10" x14ac:dyDescent="0.2">
      <c r="A282" s="1" t="s">
        <v>99</v>
      </c>
      <c r="B282" s="1" t="s">
        <v>21</v>
      </c>
      <c r="C282" s="9">
        <v>475256935</v>
      </c>
      <c r="D282" s="10">
        <v>6017852326</v>
      </c>
      <c r="E282" s="1" t="s">
        <v>22</v>
      </c>
      <c r="F282" s="24">
        <v>36951</v>
      </c>
      <c r="G282" s="11">
        <f t="shared" ca="1" si="4"/>
        <v>23</v>
      </c>
      <c r="H282" s="12">
        <v>4</v>
      </c>
      <c r="I282" s="17">
        <v>43173</v>
      </c>
      <c r="J282" s="50">
        <v>36951</v>
      </c>
    </row>
    <row r="283" spans="1:10" x14ac:dyDescent="0.2">
      <c r="A283" s="1" t="s">
        <v>464</v>
      </c>
      <c r="B283" s="1" t="s">
        <v>21</v>
      </c>
      <c r="C283" s="9">
        <v>145495793</v>
      </c>
      <c r="D283" s="10">
        <v>5041789943</v>
      </c>
      <c r="E283" s="1" t="s">
        <v>22</v>
      </c>
      <c r="F283" s="24">
        <v>36393</v>
      </c>
      <c r="G283" s="11">
        <f t="shared" ca="1" si="4"/>
        <v>25</v>
      </c>
      <c r="H283" s="12">
        <v>2</v>
      </c>
      <c r="I283" s="17">
        <v>42107</v>
      </c>
      <c r="J283" s="50">
        <v>36393</v>
      </c>
    </row>
    <row r="284" spans="1:10" x14ac:dyDescent="0.2">
      <c r="A284" s="1" t="s">
        <v>208</v>
      </c>
      <c r="B284" s="1" t="s">
        <v>21</v>
      </c>
      <c r="C284" s="9">
        <v>525699951</v>
      </c>
      <c r="D284" s="10">
        <v>7068801464</v>
      </c>
      <c r="E284" s="1" t="s">
        <v>17</v>
      </c>
      <c r="F284" s="24">
        <v>34641</v>
      </c>
      <c r="G284" s="11">
        <f t="shared" ca="1" si="4"/>
        <v>30</v>
      </c>
      <c r="H284" s="12">
        <v>3</v>
      </c>
      <c r="I284" s="17">
        <v>41847</v>
      </c>
      <c r="J284" s="50">
        <v>34641</v>
      </c>
    </row>
    <row r="285" spans="1:10" x14ac:dyDescent="0.2">
      <c r="A285" s="1" t="s">
        <v>258</v>
      </c>
      <c r="B285" s="1" t="s">
        <v>21</v>
      </c>
      <c r="C285" s="9">
        <v>483483618</v>
      </c>
      <c r="D285" s="10">
        <v>2198046670</v>
      </c>
      <c r="E285" s="1" t="s">
        <v>22</v>
      </c>
      <c r="F285" s="24">
        <v>38803</v>
      </c>
      <c r="G285" s="11">
        <f t="shared" ca="1" si="4"/>
        <v>18</v>
      </c>
      <c r="H285" s="12">
        <v>5</v>
      </c>
      <c r="I285" s="17">
        <v>40196</v>
      </c>
      <c r="J285" s="50">
        <v>38803</v>
      </c>
    </row>
    <row r="286" spans="1:10" x14ac:dyDescent="0.2">
      <c r="A286" s="1" t="s">
        <v>697</v>
      </c>
      <c r="B286" s="1" t="s">
        <v>21</v>
      </c>
      <c r="C286" s="9">
        <v>221364716</v>
      </c>
      <c r="D286" s="10">
        <v>4173014821</v>
      </c>
      <c r="E286" s="1" t="s">
        <v>81</v>
      </c>
      <c r="F286" s="24">
        <v>35032</v>
      </c>
      <c r="G286" s="11">
        <f t="shared" ca="1" si="4"/>
        <v>29</v>
      </c>
      <c r="H286" s="12">
        <v>1</v>
      </c>
      <c r="I286" s="17">
        <v>39541</v>
      </c>
      <c r="J286" s="50">
        <v>35032</v>
      </c>
    </row>
    <row r="287" spans="1:10" x14ac:dyDescent="0.2">
      <c r="A287" s="1" t="s">
        <v>634</v>
      </c>
      <c r="B287" s="1" t="s">
        <v>21</v>
      </c>
      <c r="C287" s="9">
        <v>993383806</v>
      </c>
      <c r="D287" s="10">
        <v>3128857217</v>
      </c>
      <c r="E287" s="1" t="s">
        <v>22</v>
      </c>
      <c r="F287" s="24">
        <v>39699</v>
      </c>
      <c r="G287" s="11">
        <f t="shared" ca="1" si="4"/>
        <v>16</v>
      </c>
      <c r="H287" s="12">
        <v>5</v>
      </c>
      <c r="I287" s="17">
        <v>38246</v>
      </c>
      <c r="J287" s="50">
        <v>39699</v>
      </c>
    </row>
    <row r="288" spans="1:10" x14ac:dyDescent="0.2">
      <c r="A288" s="1" t="s">
        <v>204</v>
      </c>
      <c r="B288" s="1" t="s">
        <v>21</v>
      </c>
      <c r="C288" s="9">
        <v>914330398</v>
      </c>
      <c r="D288" s="10">
        <v>9117077326</v>
      </c>
      <c r="E288" s="1" t="s">
        <v>81</v>
      </c>
      <c r="F288" s="24">
        <v>36696</v>
      </c>
      <c r="G288" s="11">
        <f t="shared" ca="1" si="4"/>
        <v>24</v>
      </c>
      <c r="H288" s="12">
        <v>3</v>
      </c>
      <c r="I288" s="17">
        <v>37929</v>
      </c>
      <c r="J288" s="50">
        <v>36696</v>
      </c>
    </row>
    <row r="289" spans="1:10" x14ac:dyDescent="0.2">
      <c r="A289" s="1" t="s">
        <v>515</v>
      </c>
      <c r="B289" s="1" t="s">
        <v>21</v>
      </c>
      <c r="C289" s="9">
        <v>304024314</v>
      </c>
      <c r="D289" s="10">
        <v>2094713634</v>
      </c>
      <c r="E289" s="1" t="s">
        <v>22</v>
      </c>
      <c r="F289" s="24">
        <v>38261</v>
      </c>
      <c r="G289" s="11">
        <f t="shared" ca="1" si="4"/>
        <v>20</v>
      </c>
      <c r="H289" s="12">
        <v>3</v>
      </c>
      <c r="I289" s="17">
        <v>37661</v>
      </c>
      <c r="J289" s="50">
        <v>38261</v>
      </c>
    </row>
    <row r="290" spans="1:10" x14ac:dyDescent="0.2">
      <c r="A290" s="1" t="s">
        <v>139</v>
      </c>
      <c r="B290" s="1" t="s">
        <v>21</v>
      </c>
      <c r="C290" s="9">
        <v>855135948</v>
      </c>
      <c r="D290" s="10">
        <v>3146132408</v>
      </c>
      <c r="E290" s="1" t="s">
        <v>81</v>
      </c>
      <c r="F290" s="24">
        <v>41441</v>
      </c>
      <c r="G290" s="11">
        <f t="shared" ca="1" si="4"/>
        <v>11</v>
      </c>
      <c r="H290" s="12">
        <v>4</v>
      </c>
      <c r="I290" s="17">
        <v>36951</v>
      </c>
      <c r="J290" s="50">
        <v>41441</v>
      </c>
    </row>
    <row r="291" spans="1:10" x14ac:dyDescent="0.2">
      <c r="A291" s="1" t="s">
        <v>405</v>
      </c>
      <c r="B291" s="1" t="s">
        <v>21</v>
      </c>
      <c r="C291" s="9">
        <v>279591317</v>
      </c>
      <c r="D291" s="10">
        <v>5124138160</v>
      </c>
      <c r="E291" s="1" t="s">
        <v>17</v>
      </c>
      <c r="F291" s="24">
        <v>36227</v>
      </c>
      <c r="G291" s="11">
        <f t="shared" ca="1" si="4"/>
        <v>25</v>
      </c>
      <c r="H291" s="12">
        <v>5</v>
      </c>
      <c r="I291" s="17">
        <v>36738</v>
      </c>
      <c r="J291" s="50">
        <v>36227</v>
      </c>
    </row>
    <row r="292" spans="1:10" x14ac:dyDescent="0.2">
      <c r="A292" s="1" t="s">
        <v>368</v>
      </c>
      <c r="B292" s="1" t="s">
        <v>21</v>
      </c>
      <c r="C292" s="9">
        <v>407299017</v>
      </c>
      <c r="D292" s="10">
        <v>9146532463</v>
      </c>
      <c r="E292" s="1" t="s">
        <v>22</v>
      </c>
      <c r="F292" s="24">
        <v>34588</v>
      </c>
      <c r="G292" s="11">
        <f t="shared" ca="1" si="4"/>
        <v>30</v>
      </c>
      <c r="H292" s="12">
        <v>5</v>
      </c>
      <c r="I292" s="17">
        <v>34047</v>
      </c>
      <c r="J292" s="50">
        <v>34588</v>
      </c>
    </row>
    <row r="293" spans="1:10" x14ac:dyDescent="0.2">
      <c r="A293" s="1" t="s">
        <v>317</v>
      </c>
      <c r="B293" s="1" t="s">
        <v>21</v>
      </c>
      <c r="C293" s="9">
        <v>768215237</v>
      </c>
      <c r="D293" s="10">
        <v>8175060466</v>
      </c>
      <c r="E293" s="1" t="s">
        <v>22</v>
      </c>
      <c r="F293" s="24">
        <v>38096</v>
      </c>
      <c r="G293" s="11">
        <f t="shared" ca="1" si="4"/>
        <v>20</v>
      </c>
      <c r="H293" s="12">
        <v>4</v>
      </c>
      <c r="I293" s="17">
        <v>32903</v>
      </c>
      <c r="J293" s="50">
        <v>38096</v>
      </c>
    </row>
    <row r="294" spans="1:10" x14ac:dyDescent="0.2">
      <c r="A294" s="1" t="s">
        <v>641</v>
      </c>
      <c r="B294" s="1" t="s">
        <v>21</v>
      </c>
      <c r="C294" s="9">
        <v>575648597</v>
      </c>
      <c r="D294" s="10">
        <v>4041800673</v>
      </c>
      <c r="E294" s="1" t="s">
        <v>22</v>
      </c>
      <c r="F294" s="24">
        <v>35271</v>
      </c>
      <c r="G294" s="11">
        <f t="shared" ca="1" si="4"/>
        <v>28</v>
      </c>
      <c r="H294" s="12">
        <v>2</v>
      </c>
      <c r="I294" s="17">
        <v>32123</v>
      </c>
      <c r="J294" s="50">
        <v>35271</v>
      </c>
    </row>
    <row r="295" spans="1:10" x14ac:dyDescent="0.2">
      <c r="A295" s="1" t="s">
        <v>425</v>
      </c>
      <c r="B295" s="1" t="s">
        <v>21</v>
      </c>
      <c r="C295" s="9">
        <v>962553692</v>
      </c>
      <c r="D295" s="10">
        <v>3088213594</v>
      </c>
      <c r="E295" s="1" t="s">
        <v>33</v>
      </c>
      <c r="F295" s="24">
        <v>38487</v>
      </c>
      <c r="G295" s="11">
        <f t="shared" ca="1" si="4"/>
        <v>19</v>
      </c>
      <c r="H295" s="12">
        <v>1</v>
      </c>
      <c r="I295" s="17">
        <v>31798</v>
      </c>
      <c r="J295" s="50">
        <v>38487</v>
      </c>
    </row>
    <row r="296" spans="1:10" x14ac:dyDescent="0.2">
      <c r="A296" s="1" t="s">
        <v>566</v>
      </c>
      <c r="B296" s="1" t="s">
        <v>21</v>
      </c>
      <c r="C296" s="9">
        <v>317749924</v>
      </c>
      <c r="D296" s="10">
        <v>7134982487</v>
      </c>
      <c r="E296" s="1" t="s">
        <v>17</v>
      </c>
      <c r="F296" s="24">
        <v>36052</v>
      </c>
      <c r="G296" s="11">
        <f t="shared" ca="1" si="4"/>
        <v>26</v>
      </c>
      <c r="H296" s="12">
        <v>3</v>
      </c>
      <c r="I296" s="17">
        <v>31733</v>
      </c>
      <c r="J296" s="50">
        <v>36052</v>
      </c>
    </row>
    <row r="297" spans="1:10" x14ac:dyDescent="0.2">
      <c r="A297" s="1" t="s">
        <v>283</v>
      </c>
      <c r="B297" s="1" t="s">
        <v>21</v>
      </c>
      <c r="C297" s="9">
        <v>484217278</v>
      </c>
      <c r="D297" s="10">
        <v>3188138394</v>
      </c>
      <c r="E297" s="1" t="s">
        <v>22</v>
      </c>
      <c r="F297" s="24">
        <v>35652</v>
      </c>
      <c r="G297" s="11">
        <f t="shared" ca="1" si="4"/>
        <v>27</v>
      </c>
      <c r="H297" s="12">
        <v>3</v>
      </c>
      <c r="I297" s="17">
        <v>31590</v>
      </c>
      <c r="J297" s="50">
        <v>35652</v>
      </c>
    </row>
    <row r="298" spans="1:10" x14ac:dyDescent="0.2">
      <c r="A298" s="1" t="s">
        <v>467</v>
      </c>
      <c r="B298" s="1" t="s">
        <v>21</v>
      </c>
      <c r="C298" s="9">
        <v>237359447</v>
      </c>
      <c r="D298" s="10">
        <v>9183077504</v>
      </c>
      <c r="E298" s="1" t="s">
        <v>22</v>
      </c>
      <c r="F298" s="24">
        <v>37565</v>
      </c>
      <c r="G298" s="11">
        <f t="shared" ca="1" si="4"/>
        <v>22</v>
      </c>
      <c r="H298" s="12">
        <v>1</v>
      </c>
      <c r="I298" s="17">
        <v>30745</v>
      </c>
      <c r="J298" s="50">
        <v>37565</v>
      </c>
    </row>
    <row r="299" spans="1:10" x14ac:dyDescent="0.2">
      <c r="A299" s="1" t="s">
        <v>182</v>
      </c>
      <c r="B299" s="1" t="s">
        <v>21</v>
      </c>
      <c r="C299" s="9">
        <v>561968668</v>
      </c>
      <c r="D299" s="10">
        <v>2051591006</v>
      </c>
      <c r="E299" s="1" t="s">
        <v>22</v>
      </c>
      <c r="F299" s="24">
        <v>34935</v>
      </c>
      <c r="G299" s="11">
        <f t="shared" ca="1" si="4"/>
        <v>29</v>
      </c>
      <c r="H299" s="12">
        <v>4</v>
      </c>
      <c r="I299" s="17">
        <v>30329</v>
      </c>
      <c r="J299" s="50">
        <v>34935</v>
      </c>
    </row>
    <row r="300" spans="1:10" x14ac:dyDescent="0.2">
      <c r="A300" s="1" t="s">
        <v>347</v>
      </c>
      <c r="B300" s="1" t="s">
        <v>21</v>
      </c>
      <c r="C300" s="9">
        <v>995590510</v>
      </c>
      <c r="D300" s="10">
        <v>5128912054</v>
      </c>
      <c r="E300" s="1" t="s">
        <v>22</v>
      </c>
      <c r="F300" s="24">
        <v>36989</v>
      </c>
      <c r="G300" s="11">
        <f t="shared" ca="1" si="4"/>
        <v>23</v>
      </c>
      <c r="H300" s="12">
        <v>2</v>
      </c>
      <c r="I300" s="17">
        <v>29458</v>
      </c>
      <c r="J300" s="50">
        <v>36989</v>
      </c>
    </row>
    <row r="301" spans="1:10" x14ac:dyDescent="0.2">
      <c r="A301" s="1" t="s">
        <v>175</v>
      </c>
      <c r="B301" s="1" t="s">
        <v>21</v>
      </c>
      <c r="C301" s="9">
        <v>803776506</v>
      </c>
      <c r="D301" s="10">
        <v>6145617115</v>
      </c>
      <c r="E301" s="1" t="s">
        <v>81</v>
      </c>
      <c r="F301" s="24">
        <v>36357</v>
      </c>
      <c r="G301" s="11">
        <f t="shared" ca="1" si="4"/>
        <v>25</v>
      </c>
      <c r="H301" s="12">
        <v>1</v>
      </c>
      <c r="I301" s="17">
        <v>29214</v>
      </c>
      <c r="J301" s="50">
        <v>36357</v>
      </c>
    </row>
    <row r="302" spans="1:10" x14ac:dyDescent="0.2">
      <c r="A302" s="1" t="s">
        <v>470</v>
      </c>
      <c r="B302" s="1" t="s">
        <v>21</v>
      </c>
      <c r="C302" s="9">
        <v>836953739</v>
      </c>
      <c r="D302" s="10">
        <v>4125968632</v>
      </c>
      <c r="E302" s="1" t="s">
        <v>81</v>
      </c>
      <c r="F302" s="24">
        <v>34618</v>
      </c>
      <c r="G302" s="11">
        <f t="shared" ca="1" si="4"/>
        <v>30</v>
      </c>
      <c r="H302" s="12">
        <v>4</v>
      </c>
      <c r="I302" s="17">
        <v>29047</v>
      </c>
      <c r="J302" s="50">
        <v>34618</v>
      </c>
    </row>
    <row r="303" spans="1:10" x14ac:dyDescent="0.2">
      <c r="A303" s="1" t="s">
        <v>209</v>
      </c>
      <c r="B303" s="1" t="s">
        <v>21</v>
      </c>
      <c r="C303" s="9">
        <v>858800513</v>
      </c>
      <c r="D303" s="10">
        <v>2086201509</v>
      </c>
      <c r="E303" s="1" t="s">
        <v>33</v>
      </c>
      <c r="F303" s="24">
        <v>37044</v>
      </c>
      <c r="G303" s="11">
        <f t="shared" ca="1" si="4"/>
        <v>23</v>
      </c>
      <c r="H303" s="12">
        <v>2</v>
      </c>
      <c r="I303" s="17">
        <v>28171</v>
      </c>
      <c r="J303" s="50">
        <v>37044</v>
      </c>
    </row>
    <row r="304" spans="1:10" x14ac:dyDescent="0.2">
      <c r="A304" s="1" t="s">
        <v>734</v>
      </c>
      <c r="B304" s="1" t="s">
        <v>21</v>
      </c>
      <c r="C304" s="9">
        <v>597641409</v>
      </c>
      <c r="D304" s="10">
        <v>7052163497</v>
      </c>
      <c r="E304" s="1" t="s">
        <v>33</v>
      </c>
      <c r="F304" s="24">
        <v>35030</v>
      </c>
      <c r="G304" s="11">
        <f t="shared" ca="1" si="4"/>
        <v>29</v>
      </c>
      <c r="H304" s="12">
        <v>4</v>
      </c>
      <c r="I304" s="17">
        <v>24564</v>
      </c>
      <c r="J304" s="50">
        <v>35030</v>
      </c>
    </row>
    <row r="305" spans="1:10" x14ac:dyDescent="0.2">
      <c r="A305" s="1" t="s">
        <v>723</v>
      </c>
      <c r="B305" s="1" t="s">
        <v>21</v>
      </c>
      <c r="C305" s="9">
        <v>527185620</v>
      </c>
      <c r="D305" s="10">
        <v>4178873234</v>
      </c>
      <c r="E305" s="1" t="s">
        <v>33</v>
      </c>
      <c r="F305" s="24">
        <v>37289</v>
      </c>
      <c r="G305" s="11">
        <f t="shared" ca="1" si="4"/>
        <v>22</v>
      </c>
      <c r="H305" s="12">
        <v>5</v>
      </c>
      <c r="I305" s="17">
        <v>22451</v>
      </c>
      <c r="J305" s="50">
        <v>37289</v>
      </c>
    </row>
    <row r="306" spans="1:10" x14ac:dyDescent="0.2">
      <c r="A306" s="1" t="s">
        <v>481</v>
      </c>
      <c r="B306" s="1" t="s">
        <v>21</v>
      </c>
      <c r="C306" s="9">
        <v>328787467</v>
      </c>
      <c r="D306" s="10">
        <v>9085165289</v>
      </c>
      <c r="E306" s="1" t="s">
        <v>33</v>
      </c>
      <c r="F306" s="24">
        <v>35450</v>
      </c>
      <c r="G306" s="11">
        <f t="shared" ca="1" si="4"/>
        <v>28</v>
      </c>
      <c r="H306" s="12">
        <v>2</v>
      </c>
      <c r="I306" s="17">
        <v>19838</v>
      </c>
      <c r="J306" s="50">
        <v>35450</v>
      </c>
    </row>
    <row r="307" spans="1:10" x14ac:dyDescent="0.2">
      <c r="A307" s="1" t="s">
        <v>495</v>
      </c>
      <c r="B307" s="1" t="s">
        <v>21</v>
      </c>
      <c r="C307" s="9">
        <v>383616821</v>
      </c>
      <c r="D307" s="10">
        <v>9186169135</v>
      </c>
      <c r="E307" s="1" t="s">
        <v>81</v>
      </c>
      <c r="F307" s="24">
        <v>39954</v>
      </c>
      <c r="G307" s="11">
        <f t="shared" ca="1" si="4"/>
        <v>15</v>
      </c>
      <c r="H307" s="12">
        <v>4</v>
      </c>
      <c r="I307" s="17">
        <v>18741</v>
      </c>
      <c r="J307" s="50">
        <v>39954</v>
      </c>
    </row>
    <row r="308" spans="1:10" x14ac:dyDescent="0.2">
      <c r="A308" s="1" t="s">
        <v>195</v>
      </c>
      <c r="B308" s="1" t="s">
        <v>21</v>
      </c>
      <c r="C308" s="9">
        <v>974912089</v>
      </c>
      <c r="D308" s="10">
        <v>3028413271</v>
      </c>
      <c r="E308" s="1" t="s">
        <v>33</v>
      </c>
      <c r="F308" s="24">
        <v>37227</v>
      </c>
      <c r="G308" s="11">
        <f t="shared" ca="1" si="4"/>
        <v>23</v>
      </c>
      <c r="H308" s="12">
        <v>1</v>
      </c>
      <c r="I308" s="17">
        <v>14385</v>
      </c>
      <c r="J308" s="50">
        <v>37227</v>
      </c>
    </row>
    <row r="309" spans="1:10" x14ac:dyDescent="0.2">
      <c r="A309" s="1" t="s">
        <v>410</v>
      </c>
      <c r="B309" s="1" t="s">
        <v>21</v>
      </c>
      <c r="C309" s="9">
        <v>213741822</v>
      </c>
      <c r="D309" s="10">
        <v>3022881600</v>
      </c>
      <c r="E309" s="1" t="s">
        <v>81</v>
      </c>
      <c r="F309" s="24">
        <v>40614</v>
      </c>
      <c r="G309" s="11">
        <f t="shared" ca="1" si="4"/>
        <v>13</v>
      </c>
      <c r="H309" s="12">
        <v>4</v>
      </c>
      <c r="I309" s="17">
        <v>13744</v>
      </c>
      <c r="J309" s="50">
        <v>40614</v>
      </c>
    </row>
    <row r="310" spans="1:10" x14ac:dyDescent="0.2">
      <c r="A310" s="1" t="s">
        <v>542</v>
      </c>
      <c r="B310" s="1" t="s">
        <v>21</v>
      </c>
      <c r="C310" s="9">
        <v>693214759</v>
      </c>
      <c r="D310" s="10">
        <v>5193936198</v>
      </c>
      <c r="E310" s="1" t="s">
        <v>81</v>
      </c>
      <c r="F310" s="24">
        <v>37172</v>
      </c>
      <c r="G310" s="11">
        <f t="shared" ca="1" si="4"/>
        <v>23</v>
      </c>
      <c r="H310" s="12">
        <v>4</v>
      </c>
      <c r="I310" s="17">
        <v>12251</v>
      </c>
      <c r="J310" s="50">
        <v>37172</v>
      </c>
    </row>
    <row r="311" spans="1:10" x14ac:dyDescent="0.2">
      <c r="A311" s="1" t="s">
        <v>326</v>
      </c>
      <c r="B311" s="1" t="s">
        <v>21</v>
      </c>
      <c r="C311" s="9">
        <v>781472289</v>
      </c>
      <c r="D311" s="10">
        <v>5115228292</v>
      </c>
      <c r="E311" s="1" t="s">
        <v>81</v>
      </c>
      <c r="F311" s="24">
        <v>36849</v>
      </c>
      <c r="G311" s="11">
        <f t="shared" ca="1" si="4"/>
        <v>24</v>
      </c>
      <c r="H311" s="12">
        <v>3</v>
      </c>
      <c r="I311" s="17">
        <v>11575</v>
      </c>
      <c r="J311" s="50">
        <v>36849</v>
      </c>
    </row>
    <row r="312" spans="1:10" x14ac:dyDescent="0.2">
      <c r="A312" s="1" t="s">
        <v>312</v>
      </c>
      <c r="B312" s="1" t="s">
        <v>21</v>
      </c>
      <c r="C312" s="9">
        <v>379340654</v>
      </c>
      <c r="D312" s="10">
        <v>7056104400</v>
      </c>
      <c r="E312" s="1" t="s">
        <v>81</v>
      </c>
      <c r="F312" s="24">
        <v>38597</v>
      </c>
      <c r="G312" s="11">
        <f t="shared" ca="1" si="4"/>
        <v>19</v>
      </c>
      <c r="H312" s="12">
        <v>1</v>
      </c>
      <c r="I312" s="17">
        <v>11560</v>
      </c>
      <c r="J312" s="50">
        <v>38597</v>
      </c>
    </row>
    <row r="313" spans="1:10" x14ac:dyDescent="0.2">
      <c r="A313" s="1" t="s">
        <v>508</v>
      </c>
      <c r="B313" s="1" t="s">
        <v>83</v>
      </c>
      <c r="C313" s="9">
        <v>627977314</v>
      </c>
      <c r="D313" s="10">
        <v>5062672603</v>
      </c>
      <c r="E313" s="1" t="s">
        <v>17</v>
      </c>
      <c r="F313" s="24">
        <v>37632</v>
      </c>
      <c r="G313" s="11">
        <f t="shared" ca="1" si="4"/>
        <v>22</v>
      </c>
      <c r="H313" s="12">
        <v>4</v>
      </c>
      <c r="I313" s="17">
        <v>96850</v>
      </c>
      <c r="J313" s="50">
        <v>37632</v>
      </c>
    </row>
    <row r="314" spans="1:10" x14ac:dyDescent="0.2">
      <c r="A314" s="1" t="s">
        <v>356</v>
      </c>
      <c r="B314" s="1" t="s">
        <v>83</v>
      </c>
      <c r="C314" s="9">
        <v>230192897</v>
      </c>
      <c r="D314" s="10">
        <v>9113040292</v>
      </c>
      <c r="E314" s="1" t="s">
        <v>22</v>
      </c>
      <c r="F314" s="24">
        <v>39905</v>
      </c>
      <c r="G314" s="11">
        <f t="shared" ca="1" si="4"/>
        <v>15</v>
      </c>
      <c r="H314" s="12">
        <v>4</v>
      </c>
      <c r="I314" s="17">
        <v>92820</v>
      </c>
      <c r="J314" s="50">
        <v>39905</v>
      </c>
    </row>
    <row r="315" spans="1:10" x14ac:dyDescent="0.2">
      <c r="A315" s="1" t="s">
        <v>142</v>
      </c>
      <c r="B315" s="1" t="s">
        <v>83</v>
      </c>
      <c r="C315" s="9">
        <v>569701716</v>
      </c>
      <c r="D315" s="10">
        <v>4061664940</v>
      </c>
      <c r="E315" s="1" t="s">
        <v>17</v>
      </c>
      <c r="F315" s="24">
        <v>41159</v>
      </c>
      <c r="G315" s="11">
        <f t="shared" ca="1" si="4"/>
        <v>12</v>
      </c>
      <c r="H315" s="12">
        <v>2</v>
      </c>
      <c r="I315" s="17">
        <v>80457</v>
      </c>
      <c r="J315" s="50">
        <v>41159</v>
      </c>
    </row>
    <row r="316" spans="1:10" x14ac:dyDescent="0.2">
      <c r="A316" s="1" t="s">
        <v>419</v>
      </c>
      <c r="B316" s="1" t="s">
        <v>83</v>
      </c>
      <c r="C316" s="9">
        <v>349979288</v>
      </c>
      <c r="D316" s="10">
        <v>3185604891</v>
      </c>
      <c r="E316" s="1" t="s">
        <v>22</v>
      </c>
      <c r="F316" s="24">
        <v>38274</v>
      </c>
      <c r="G316" s="11">
        <f t="shared" ca="1" si="4"/>
        <v>20</v>
      </c>
      <c r="H316" s="12">
        <v>5</v>
      </c>
      <c r="I316" s="17">
        <v>76882</v>
      </c>
      <c r="J316" s="50">
        <v>38274</v>
      </c>
    </row>
    <row r="317" spans="1:10" x14ac:dyDescent="0.2">
      <c r="A317" s="1" t="s">
        <v>82</v>
      </c>
      <c r="B317" s="1" t="s">
        <v>83</v>
      </c>
      <c r="C317" s="9">
        <v>147683641</v>
      </c>
      <c r="D317" s="10">
        <v>7161854525</v>
      </c>
      <c r="E317" s="1" t="s">
        <v>22</v>
      </c>
      <c r="F317" s="24">
        <v>38803</v>
      </c>
      <c r="G317" s="11">
        <f t="shared" ca="1" si="4"/>
        <v>18</v>
      </c>
      <c r="H317" s="12">
        <v>2</v>
      </c>
      <c r="I317" s="17">
        <v>70031</v>
      </c>
      <c r="J317" s="50">
        <v>38803</v>
      </c>
    </row>
    <row r="318" spans="1:10" x14ac:dyDescent="0.2">
      <c r="A318" s="1" t="s">
        <v>522</v>
      </c>
      <c r="B318" s="1" t="s">
        <v>83</v>
      </c>
      <c r="C318" s="9">
        <v>422929693</v>
      </c>
      <c r="D318" s="10">
        <v>4186712695</v>
      </c>
      <c r="E318" s="1" t="s">
        <v>22</v>
      </c>
      <c r="F318" s="24">
        <v>34699</v>
      </c>
      <c r="G318" s="11">
        <f t="shared" ca="1" si="4"/>
        <v>30</v>
      </c>
      <c r="H318" s="12">
        <v>3</v>
      </c>
      <c r="I318" s="17">
        <v>50908</v>
      </c>
      <c r="J318" s="50">
        <v>34699</v>
      </c>
    </row>
    <row r="319" spans="1:10" x14ac:dyDescent="0.2">
      <c r="A319" s="1" t="s">
        <v>84</v>
      </c>
      <c r="B319" s="1" t="s">
        <v>83</v>
      </c>
      <c r="C319" s="9">
        <v>724193735</v>
      </c>
      <c r="D319" s="10">
        <v>9144555389</v>
      </c>
      <c r="E319" s="1" t="s">
        <v>22</v>
      </c>
      <c r="F319" s="24">
        <v>41180</v>
      </c>
      <c r="G319" s="11">
        <f t="shared" ca="1" si="4"/>
        <v>12</v>
      </c>
      <c r="H319" s="12">
        <v>5</v>
      </c>
      <c r="I319" s="17">
        <v>35425</v>
      </c>
      <c r="J319" s="50">
        <v>41180</v>
      </c>
    </row>
    <row r="320" spans="1:10" x14ac:dyDescent="0.2">
      <c r="A320" s="1" t="s">
        <v>548</v>
      </c>
      <c r="B320" s="1" t="s">
        <v>16</v>
      </c>
      <c r="C320" s="9">
        <v>186346711</v>
      </c>
      <c r="D320" s="10">
        <v>6082604602</v>
      </c>
      <c r="E320" s="1" t="s">
        <v>22</v>
      </c>
      <c r="F320" s="24">
        <v>34473</v>
      </c>
      <c r="G320" s="11">
        <f t="shared" ca="1" si="4"/>
        <v>30</v>
      </c>
      <c r="H320" s="12">
        <v>3</v>
      </c>
      <c r="I320" s="17">
        <v>113256</v>
      </c>
      <c r="J320" s="50">
        <v>34473</v>
      </c>
    </row>
    <row r="321" spans="1:10" x14ac:dyDescent="0.2">
      <c r="A321" s="1" t="s">
        <v>254</v>
      </c>
      <c r="B321" s="1" t="s">
        <v>16</v>
      </c>
      <c r="C321" s="9">
        <v>624234626</v>
      </c>
      <c r="D321" s="10">
        <v>8022490678</v>
      </c>
      <c r="E321" s="1" t="s">
        <v>22</v>
      </c>
      <c r="F321" s="24">
        <v>36723</v>
      </c>
      <c r="G321" s="11">
        <f t="shared" ca="1" si="4"/>
        <v>24</v>
      </c>
      <c r="H321" s="12">
        <v>3</v>
      </c>
      <c r="I321" s="17">
        <v>112879</v>
      </c>
      <c r="J321" s="50">
        <v>36723</v>
      </c>
    </row>
    <row r="322" spans="1:10" x14ac:dyDescent="0.2">
      <c r="A322" s="1" t="s">
        <v>423</v>
      </c>
      <c r="B322" s="1" t="s">
        <v>16</v>
      </c>
      <c r="C322" s="9">
        <v>165917010</v>
      </c>
      <c r="D322" s="10">
        <v>9172339143</v>
      </c>
      <c r="E322" s="1" t="s">
        <v>22</v>
      </c>
      <c r="F322" s="24">
        <v>34934</v>
      </c>
      <c r="G322" s="11">
        <f t="shared" ref="G322:G385" ca="1" si="5">DATEDIF(F322,TODAY(),"Y")</f>
        <v>29</v>
      </c>
      <c r="H322" s="12">
        <v>4</v>
      </c>
      <c r="I322" s="17">
        <v>112502</v>
      </c>
      <c r="J322" s="50">
        <v>34934</v>
      </c>
    </row>
    <row r="323" spans="1:10" x14ac:dyDescent="0.2">
      <c r="A323" s="1" t="s">
        <v>576</v>
      </c>
      <c r="B323" s="1" t="s">
        <v>16</v>
      </c>
      <c r="C323" s="9">
        <v>881975933</v>
      </c>
      <c r="D323" s="10">
        <v>9116690862</v>
      </c>
      <c r="E323" s="1" t="s">
        <v>22</v>
      </c>
      <c r="F323" s="24">
        <v>36724</v>
      </c>
      <c r="G323" s="11">
        <f t="shared" ca="1" si="5"/>
        <v>24</v>
      </c>
      <c r="H323" s="12">
        <v>3</v>
      </c>
      <c r="I323" s="17">
        <v>106743</v>
      </c>
      <c r="J323" s="50">
        <v>36724</v>
      </c>
    </row>
    <row r="324" spans="1:10" x14ac:dyDescent="0.2">
      <c r="A324" s="1" t="s">
        <v>409</v>
      </c>
      <c r="B324" s="1" t="s">
        <v>16</v>
      </c>
      <c r="C324" s="9">
        <v>144722757</v>
      </c>
      <c r="D324" s="10">
        <v>3061777060</v>
      </c>
      <c r="E324" s="1" t="s">
        <v>17</v>
      </c>
      <c r="F324" s="24">
        <v>35814</v>
      </c>
      <c r="G324" s="11">
        <f t="shared" ca="1" si="5"/>
        <v>27</v>
      </c>
      <c r="H324" s="12">
        <v>5</v>
      </c>
      <c r="I324" s="17">
        <v>106509</v>
      </c>
      <c r="J324" s="50">
        <v>35814</v>
      </c>
    </row>
    <row r="325" spans="1:10" x14ac:dyDescent="0.2">
      <c r="A325" s="1" t="s">
        <v>661</v>
      </c>
      <c r="B325" s="1" t="s">
        <v>16</v>
      </c>
      <c r="C325" s="9">
        <v>195772503</v>
      </c>
      <c r="D325" s="10">
        <v>2012639452</v>
      </c>
      <c r="E325" s="1" t="s">
        <v>22</v>
      </c>
      <c r="F325" s="24">
        <v>36414</v>
      </c>
      <c r="G325" s="11">
        <f t="shared" ca="1" si="5"/>
        <v>25</v>
      </c>
      <c r="H325" s="12">
        <v>4</v>
      </c>
      <c r="I325" s="17">
        <v>106132</v>
      </c>
      <c r="J325" s="50">
        <v>36414</v>
      </c>
    </row>
    <row r="326" spans="1:10" x14ac:dyDescent="0.2">
      <c r="A326" s="1" t="s">
        <v>692</v>
      </c>
      <c r="B326" s="1" t="s">
        <v>16</v>
      </c>
      <c r="C326" s="9">
        <v>456809622</v>
      </c>
      <c r="D326" s="10">
        <v>2197358099</v>
      </c>
      <c r="E326" s="1" t="s">
        <v>17</v>
      </c>
      <c r="F326" s="24">
        <v>36643</v>
      </c>
      <c r="G326" s="11">
        <f t="shared" ca="1" si="5"/>
        <v>24</v>
      </c>
      <c r="H326" s="12">
        <v>5</v>
      </c>
      <c r="I326" s="17">
        <v>101309</v>
      </c>
      <c r="J326" s="50">
        <v>36643</v>
      </c>
    </row>
    <row r="327" spans="1:10" x14ac:dyDescent="0.2">
      <c r="A327" s="1" t="s">
        <v>210</v>
      </c>
      <c r="B327" s="1" t="s">
        <v>16</v>
      </c>
      <c r="C327" s="9">
        <v>873100939</v>
      </c>
      <c r="D327" s="10">
        <v>3186514650</v>
      </c>
      <c r="E327" s="1" t="s">
        <v>22</v>
      </c>
      <c r="F327" s="24">
        <v>41228</v>
      </c>
      <c r="G327" s="11">
        <f t="shared" ca="1" si="5"/>
        <v>12</v>
      </c>
      <c r="H327" s="12">
        <v>2</v>
      </c>
      <c r="I327" s="17">
        <v>98514</v>
      </c>
      <c r="J327" s="50">
        <v>41228</v>
      </c>
    </row>
    <row r="328" spans="1:10" x14ac:dyDescent="0.2">
      <c r="A328" s="1" t="s">
        <v>180</v>
      </c>
      <c r="B328" s="1" t="s">
        <v>16</v>
      </c>
      <c r="C328" s="9">
        <v>110726520</v>
      </c>
      <c r="D328" s="10">
        <v>6171280865</v>
      </c>
      <c r="E328" s="1" t="s">
        <v>17</v>
      </c>
      <c r="F328" s="24">
        <v>40150</v>
      </c>
      <c r="G328" s="11">
        <f t="shared" ca="1" si="5"/>
        <v>15</v>
      </c>
      <c r="H328" s="12">
        <v>3</v>
      </c>
      <c r="I328" s="17">
        <v>96811</v>
      </c>
      <c r="J328" s="50">
        <v>40150</v>
      </c>
    </row>
    <row r="329" spans="1:10" x14ac:dyDescent="0.2">
      <c r="A329" s="1" t="s">
        <v>738</v>
      </c>
      <c r="B329" s="1" t="s">
        <v>16</v>
      </c>
      <c r="C329" s="9">
        <v>428024993</v>
      </c>
      <c r="D329" s="10">
        <v>9156920236</v>
      </c>
      <c r="E329" s="1" t="s">
        <v>22</v>
      </c>
      <c r="F329" s="24">
        <v>34632</v>
      </c>
      <c r="G329" s="11">
        <f t="shared" ca="1" si="5"/>
        <v>30</v>
      </c>
      <c r="H329" s="12">
        <v>1</v>
      </c>
      <c r="I329" s="17">
        <v>96109</v>
      </c>
      <c r="J329" s="50">
        <v>34632</v>
      </c>
    </row>
    <row r="330" spans="1:10" x14ac:dyDescent="0.2">
      <c r="A330" s="1" t="s">
        <v>486</v>
      </c>
      <c r="B330" s="1" t="s">
        <v>16</v>
      </c>
      <c r="C330" s="9">
        <v>861884260</v>
      </c>
      <c r="D330" s="10">
        <v>3076245634</v>
      </c>
      <c r="E330" s="1" t="s">
        <v>22</v>
      </c>
      <c r="F330" s="24">
        <v>36087</v>
      </c>
      <c r="G330" s="11">
        <f t="shared" ca="1" si="5"/>
        <v>26</v>
      </c>
      <c r="H330" s="12">
        <v>4</v>
      </c>
      <c r="I330" s="17">
        <v>91624</v>
      </c>
      <c r="J330" s="50">
        <v>36087</v>
      </c>
    </row>
    <row r="331" spans="1:10" x14ac:dyDescent="0.2">
      <c r="A331" s="1" t="s">
        <v>259</v>
      </c>
      <c r="B331" s="1" t="s">
        <v>16</v>
      </c>
      <c r="C331" s="9">
        <v>487810878</v>
      </c>
      <c r="D331" s="10">
        <v>4058183445</v>
      </c>
      <c r="E331" s="1" t="s">
        <v>22</v>
      </c>
      <c r="F331" s="24">
        <v>35742</v>
      </c>
      <c r="G331" s="11">
        <f t="shared" ca="1" si="5"/>
        <v>27</v>
      </c>
      <c r="H331" s="12">
        <v>2</v>
      </c>
      <c r="I331" s="17">
        <v>86996</v>
      </c>
      <c r="J331" s="50">
        <v>35742</v>
      </c>
    </row>
    <row r="332" spans="1:10" x14ac:dyDescent="0.2">
      <c r="A332" s="1" t="s">
        <v>94</v>
      </c>
      <c r="B332" s="1" t="s">
        <v>16</v>
      </c>
      <c r="C332" s="9">
        <v>351268538</v>
      </c>
      <c r="D332" s="10">
        <v>5025724528</v>
      </c>
      <c r="E332" s="1" t="s">
        <v>22</v>
      </c>
      <c r="F332" s="24">
        <v>35044</v>
      </c>
      <c r="G332" s="11">
        <f t="shared" ca="1" si="5"/>
        <v>29</v>
      </c>
      <c r="H332" s="12">
        <v>2</v>
      </c>
      <c r="I332" s="17">
        <v>84825</v>
      </c>
      <c r="J332" s="50">
        <v>35044</v>
      </c>
    </row>
    <row r="333" spans="1:10" x14ac:dyDescent="0.2">
      <c r="A333" s="1" t="s">
        <v>402</v>
      </c>
      <c r="B333" s="1" t="s">
        <v>16</v>
      </c>
      <c r="C333" s="9">
        <v>683670378</v>
      </c>
      <c r="D333" s="10">
        <v>9013788281</v>
      </c>
      <c r="E333" s="1" t="s">
        <v>17</v>
      </c>
      <c r="F333" s="24">
        <v>36549</v>
      </c>
      <c r="G333" s="11">
        <f t="shared" ca="1" si="5"/>
        <v>25</v>
      </c>
      <c r="H333" s="12">
        <v>2</v>
      </c>
      <c r="I333" s="17">
        <v>83005</v>
      </c>
      <c r="J333" s="50">
        <v>36549</v>
      </c>
    </row>
    <row r="334" spans="1:10" x14ac:dyDescent="0.2">
      <c r="A334" s="1" t="s">
        <v>56</v>
      </c>
      <c r="B334" s="1" t="s">
        <v>16</v>
      </c>
      <c r="C334" s="9">
        <v>755945415</v>
      </c>
      <c r="D334" s="10">
        <v>6194897618</v>
      </c>
      <c r="E334" s="1" t="s">
        <v>22</v>
      </c>
      <c r="F334" s="24">
        <v>34114</v>
      </c>
      <c r="G334" s="11">
        <f t="shared" ca="1" si="5"/>
        <v>31</v>
      </c>
      <c r="H334" s="12">
        <v>4</v>
      </c>
      <c r="I334" s="17">
        <v>81562</v>
      </c>
      <c r="J334" s="50">
        <v>34114</v>
      </c>
    </row>
    <row r="335" spans="1:10" x14ac:dyDescent="0.2">
      <c r="A335" s="1" t="s">
        <v>610</v>
      </c>
      <c r="B335" s="1" t="s">
        <v>16</v>
      </c>
      <c r="C335" s="9">
        <v>276980518</v>
      </c>
      <c r="D335" s="10">
        <v>7024077699</v>
      </c>
      <c r="E335" s="1" t="s">
        <v>22</v>
      </c>
      <c r="F335" s="24">
        <v>34562</v>
      </c>
      <c r="G335" s="11">
        <f t="shared" ca="1" si="5"/>
        <v>30</v>
      </c>
      <c r="H335" s="12">
        <v>4</v>
      </c>
      <c r="I335" s="17">
        <v>78728</v>
      </c>
      <c r="J335" s="50">
        <v>34562</v>
      </c>
    </row>
    <row r="336" spans="1:10" x14ac:dyDescent="0.2">
      <c r="A336" s="1" t="s">
        <v>580</v>
      </c>
      <c r="B336" s="1" t="s">
        <v>16</v>
      </c>
      <c r="C336" s="9">
        <v>776823797</v>
      </c>
      <c r="D336" s="10">
        <v>7075220001</v>
      </c>
      <c r="E336" s="1" t="s">
        <v>22</v>
      </c>
      <c r="F336" s="24">
        <v>36149</v>
      </c>
      <c r="G336" s="11">
        <f t="shared" ca="1" si="5"/>
        <v>26</v>
      </c>
      <c r="H336" s="12">
        <v>4</v>
      </c>
      <c r="I336" s="17">
        <v>74828</v>
      </c>
      <c r="J336" s="50">
        <v>36149</v>
      </c>
    </row>
    <row r="337" spans="1:10" x14ac:dyDescent="0.2">
      <c r="A337" s="1" t="s">
        <v>413</v>
      </c>
      <c r="B337" s="1" t="s">
        <v>16</v>
      </c>
      <c r="C337" s="9">
        <v>261486180</v>
      </c>
      <c r="D337" s="10">
        <v>9163820613</v>
      </c>
      <c r="E337" s="1" t="s">
        <v>17</v>
      </c>
      <c r="F337" s="24">
        <v>39363</v>
      </c>
      <c r="G337" s="11">
        <f t="shared" ca="1" si="5"/>
        <v>17</v>
      </c>
      <c r="H337" s="12">
        <v>3</v>
      </c>
      <c r="I337" s="17">
        <v>74776</v>
      </c>
      <c r="J337" s="50">
        <v>39363</v>
      </c>
    </row>
    <row r="338" spans="1:10" x14ac:dyDescent="0.2">
      <c r="A338" s="1" t="s">
        <v>562</v>
      </c>
      <c r="B338" s="1" t="s">
        <v>16</v>
      </c>
      <c r="C338" s="9">
        <v>334574480</v>
      </c>
      <c r="D338" s="10">
        <v>7165268508</v>
      </c>
      <c r="E338" s="1" t="s">
        <v>17</v>
      </c>
      <c r="F338" s="24">
        <v>36385</v>
      </c>
      <c r="G338" s="11">
        <f t="shared" ca="1" si="5"/>
        <v>25</v>
      </c>
      <c r="H338" s="12">
        <v>2</v>
      </c>
      <c r="I338" s="17">
        <v>70031</v>
      </c>
      <c r="J338" s="50">
        <v>36385</v>
      </c>
    </row>
    <row r="339" spans="1:10" x14ac:dyDescent="0.2">
      <c r="A339" s="1" t="s">
        <v>170</v>
      </c>
      <c r="B339" s="1" t="s">
        <v>16</v>
      </c>
      <c r="C339" s="9">
        <v>644862142</v>
      </c>
      <c r="D339" s="10">
        <v>8052921836</v>
      </c>
      <c r="E339" s="1" t="s">
        <v>22</v>
      </c>
      <c r="F339" s="24">
        <v>37529</v>
      </c>
      <c r="G339" s="11">
        <f t="shared" ca="1" si="5"/>
        <v>22</v>
      </c>
      <c r="H339" s="12">
        <v>4</v>
      </c>
      <c r="I339" s="17">
        <v>68237</v>
      </c>
      <c r="J339" s="50">
        <v>37529</v>
      </c>
    </row>
    <row r="340" spans="1:10" x14ac:dyDescent="0.2">
      <c r="A340" s="1" t="s">
        <v>586</v>
      </c>
      <c r="B340" s="1" t="s">
        <v>16</v>
      </c>
      <c r="C340" s="9">
        <v>375875723</v>
      </c>
      <c r="D340" s="10">
        <v>5196053287</v>
      </c>
      <c r="E340" s="1" t="s">
        <v>17</v>
      </c>
      <c r="F340" s="24">
        <v>37570</v>
      </c>
      <c r="G340" s="11">
        <f t="shared" ca="1" si="5"/>
        <v>22</v>
      </c>
      <c r="H340" s="12">
        <v>4</v>
      </c>
      <c r="I340" s="17">
        <v>65260</v>
      </c>
      <c r="J340" s="50">
        <v>37570</v>
      </c>
    </row>
    <row r="341" spans="1:10" x14ac:dyDescent="0.2">
      <c r="A341" s="1" t="s">
        <v>691</v>
      </c>
      <c r="B341" s="1" t="s">
        <v>16</v>
      </c>
      <c r="C341" s="9">
        <v>343185481</v>
      </c>
      <c r="D341" s="10">
        <v>3155441252</v>
      </c>
      <c r="E341" s="1" t="s">
        <v>22</v>
      </c>
      <c r="F341" s="24">
        <v>36983</v>
      </c>
      <c r="G341" s="11">
        <f t="shared" ca="1" si="5"/>
        <v>23</v>
      </c>
      <c r="H341" s="12">
        <v>1</v>
      </c>
      <c r="I341" s="17">
        <v>64701</v>
      </c>
      <c r="J341" s="50">
        <v>36983</v>
      </c>
    </row>
    <row r="342" spans="1:10" x14ac:dyDescent="0.2">
      <c r="A342" s="1" t="s">
        <v>62</v>
      </c>
      <c r="B342" s="1" t="s">
        <v>16</v>
      </c>
      <c r="C342" s="9">
        <v>163292583</v>
      </c>
      <c r="D342" s="10">
        <v>5192263363</v>
      </c>
      <c r="E342" s="1" t="s">
        <v>22</v>
      </c>
      <c r="F342" s="24">
        <v>37807</v>
      </c>
      <c r="G342" s="11">
        <f t="shared" ca="1" si="5"/>
        <v>21</v>
      </c>
      <c r="H342" s="12">
        <v>5</v>
      </c>
      <c r="I342" s="17">
        <v>63687</v>
      </c>
      <c r="J342" s="50">
        <v>37807</v>
      </c>
    </row>
    <row r="343" spans="1:10" x14ac:dyDescent="0.2">
      <c r="A343" s="1" t="s">
        <v>188</v>
      </c>
      <c r="B343" s="1" t="s">
        <v>16</v>
      </c>
      <c r="C343" s="9">
        <v>462995574</v>
      </c>
      <c r="D343" s="10">
        <v>7087491979</v>
      </c>
      <c r="E343" s="1" t="s">
        <v>22</v>
      </c>
      <c r="F343" s="24">
        <v>36121</v>
      </c>
      <c r="G343" s="11">
        <f t="shared" ca="1" si="5"/>
        <v>26</v>
      </c>
      <c r="H343" s="12">
        <v>4</v>
      </c>
      <c r="I343" s="17">
        <v>63440</v>
      </c>
      <c r="J343" s="50">
        <v>36121</v>
      </c>
    </row>
    <row r="344" spans="1:10" x14ac:dyDescent="0.2">
      <c r="A344" s="1" t="s">
        <v>502</v>
      </c>
      <c r="B344" s="1" t="s">
        <v>16</v>
      </c>
      <c r="C344" s="9">
        <v>387131597</v>
      </c>
      <c r="D344" s="10">
        <v>9166228199</v>
      </c>
      <c r="E344" s="1" t="s">
        <v>33</v>
      </c>
      <c r="F344" s="24">
        <v>36961</v>
      </c>
      <c r="G344" s="11">
        <f t="shared" ca="1" si="5"/>
        <v>23</v>
      </c>
      <c r="H344" s="12">
        <v>1</v>
      </c>
      <c r="I344" s="17">
        <v>62251</v>
      </c>
      <c r="J344" s="50">
        <v>36961</v>
      </c>
    </row>
    <row r="345" spans="1:10" x14ac:dyDescent="0.2">
      <c r="A345" s="1" t="s">
        <v>340</v>
      </c>
      <c r="B345" s="1" t="s">
        <v>16</v>
      </c>
      <c r="C345" s="9">
        <v>434927073</v>
      </c>
      <c r="D345" s="10">
        <v>7147038033</v>
      </c>
      <c r="E345" s="1" t="s">
        <v>33</v>
      </c>
      <c r="F345" s="24">
        <v>39965</v>
      </c>
      <c r="G345" s="11">
        <f t="shared" ca="1" si="5"/>
        <v>15</v>
      </c>
      <c r="H345" s="12">
        <v>5</v>
      </c>
      <c r="I345" s="17">
        <v>62017</v>
      </c>
      <c r="J345" s="50">
        <v>39965</v>
      </c>
    </row>
    <row r="346" spans="1:10" x14ac:dyDescent="0.2">
      <c r="A346" s="1" t="s">
        <v>15</v>
      </c>
      <c r="B346" s="1" t="s">
        <v>16</v>
      </c>
      <c r="C346" s="9">
        <v>130619578</v>
      </c>
      <c r="D346" s="10">
        <v>2071641031</v>
      </c>
      <c r="E346" s="1" t="s">
        <v>17</v>
      </c>
      <c r="F346" s="24">
        <v>41807</v>
      </c>
      <c r="G346" s="11">
        <f t="shared" ca="1" si="5"/>
        <v>10</v>
      </c>
      <c r="H346" s="12">
        <v>5</v>
      </c>
      <c r="I346" s="17">
        <v>61906</v>
      </c>
      <c r="J346" s="50">
        <v>41807</v>
      </c>
    </row>
    <row r="347" spans="1:10" x14ac:dyDescent="0.2">
      <c r="A347" s="1" t="s">
        <v>164</v>
      </c>
      <c r="B347" s="1" t="s">
        <v>16</v>
      </c>
      <c r="C347" s="9">
        <v>596008829</v>
      </c>
      <c r="D347" s="10">
        <v>8062094386</v>
      </c>
      <c r="E347" s="1" t="s">
        <v>22</v>
      </c>
      <c r="F347" s="24">
        <v>40024</v>
      </c>
      <c r="G347" s="11">
        <f t="shared" ca="1" si="5"/>
        <v>15</v>
      </c>
      <c r="H347" s="12">
        <v>4</v>
      </c>
      <c r="I347" s="17">
        <v>61893</v>
      </c>
      <c r="J347" s="50">
        <v>40024</v>
      </c>
    </row>
    <row r="348" spans="1:10" x14ac:dyDescent="0.2">
      <c r="A348" s="1" t="s">
        <v>224</v>
      </c>
      <c r="B348" s="1" t="s">
        <v>16</v>
      </c>
      <c r="C348" s="9">
        <v>816607187</v>
      </c>
      <c r="D348" s="10">
        <v>8145691314</v>
      </c>
      <c r="E348" s="1" t="s">
        <v>33</v>
      </c>
      <c r="F348" s="24">
        <v>38033</v>
      </c>
      <c r="G348" s="11">
        <f t="shared" ca="1" si="5"/>
        <v>20</v>
      </c>
      <c r="H348" s="12">
        <v>4</v>
      </c>
      <c r="I348" s="17">
        <v>61484</v>
      </c>
      <c r="J348" s="50">
        <v>38033</v>
      </c>
    </row>
    <row r="349" spans="1:10" x14ac:dyDescent="0.2">
      <c r="A349" s="1" t="s">
        <v>276</v>
      </c>
      <c r="B349" s="1" t="s">
        <v>16</v>
      </c>
      <c r="C349" s="9">
        <v>548704405</v>
      </c>
      <c r="D349" s="10">
        <v>7051351512</v>
      </c>
      <c r="E349" s="1" t="s">
        <v>22</v>
      </c>
      <c r="F349" s="24">
        <v>37164</v>
      </c>
      <c r="G349" s="11">
        <f t="shared" ca="1" si="5"/>
        <v>23</v>
      </c>
      <c r="H349" s="12">
        <v>2</v>
      </c>
      <c r="I349" s="17">
        <v>59839</v>
      </c>
      <c r="J349" s="50">
        <v>37164</v>
      </c>
    </row>
    <row r="350" spans="1:10" x14ac:dyDescent="0.2">
      <c r="A350" s="1" t="s">
        <v>28</v>
      </c>
      <c r="B350" s="1" t="s">
        <v>16</v>
      </c>
      <c r="C350" s="9">
        <v>259573806</v>
      </c>
      <c r="D350" s="10">
        <v>5013748373</v>
      </c>
      <c r="E350" s="1" t="s">
        <v>22</v>
      </c>
      <c r="F350" s="24">
        <v>41076</v>
      </c>
      <c r="G350" s="11">
        <f t="shared" ca="1" si="5"/>
        <v>12</v>
      </c>
      <c r="H350" s="12">
        <v>4</v>
      </c>
      <c r="I350" s="17">
        <v>58838</v>
      </c>
      <c r="J350" s="50">
        <v>41076</v>
      </c>
    </row>
    <row r="351" spans="1:10" x14ac:dyDescent="0.2">
      <c r="A351" s="1" t="s">
        <v>433</v>
      </c>
      <c r="B351" s="1" t="s">
        <v>16</v>
      </c>
      <c r="C351" s="9">
        <v>197789466</v>
      </c>
      <c r="D351" s="10">
        <v>3042715355</v>
      </c>
      <c r="E351" s="1" t="s">
        <v>22</v>
      </c>
      <c r="F351" s="24">
        <v>34901</v>
      </c>
      <c r="G351" s="11">
        <f t="shared" ca="1" si="5"/>
        <v>29</v>
      </c>
      <c r="H351" s="12">
        <v>5</v>
      </c>
      <c r="I351" s="17">
        <v>58734</v>
      </c>
      <c r="J351" s="50">
        <v>34901</v>
      </c>
    </row>
    <row r="352" spans="1:10" x14ac:dyDescent="0.2">
      <c r="A352" s="1" t="s">
        <v>671</v>
      </c>
      <c r="B352" s="1" t="s">
        <v>16</v>
      </c>
      <c r="C352" s="9">
        <v>914041569</v>
      </c>
      <c r="D352" s="10">
        <v>5157046530</v>
      </c>
      <c r="E352" s="1" t="s">
        <v>22</v>
      </c>
      <c r="F352" s="24">
        <v>40950</v>
      </c>
      <c r="G352" s="11">
        <f t="shared" ca="1" si="5"/>
        <v>12</v>
      </c>
      <c r="H352" s="12">
        <v>4</v>
      </c>
      <c r="I352" s="17">
        <v>57395</v>
      </c>
      <c r="J352" s="50">
        <v>40950</v>
      </c>
    </row>
    <row r="353" spans="1:10" x14ac:dyDescent="0.2">
      <c r="A353" s="1" t="s">
        <v>592</v>
      </c>
      <c r="B353" s="1" t="s">
        <v>16</v>
      </c>
      <c r="C353" s="9">
        <v>425634540</v>
      </c>
      <c r="D353" s="10">
        <v>2146739978</v>
      </c>
      <c r="E353" s="1" t="s">
        <v>33</v>
      </c>
      <c r="F353" s="24">
        <v>40738</v>
      </c>
      <c r="G353" s="11">
        <f t="shared" ca="1" si="5"/>
        <v>13</v>
      </c>
      <c r="H353" s="12">
        <v>2</v>
      </c>
      <c r="I353" s="17">
        <v>50148</v>
      </c>
      <c r="J353" s="50">
        <v>40738</v>
      </c>
    </row>
    <row r="354" spans="1:10" x14ac:dyDescent="0.2">
      <c r="A354" s="1" t="s">
        <v>521</v>
      </c>
      <c r="B354" s="1" t="s">
        <v>16</v>
      </c>
      <c r="C354" s="9">
        <v>116869057</v>
      </c>
      <c r="D354" s="10">
        <v>6061525844</v>
      </c>
      <c r="E354" s="1" t="s">
        <v>22</v>
      </c>
      <c r="F354" s="24">
        <v>34569</v>
      </c>
      <c r="G354" s="11">
        <f t="shared" ca="1" si="5"/>
        <v>30</v>
      </c>
      <c r="H354" s="12">
        <v>2</v>
      </c>
      <c r="I354" s="17">
        <v>48126</v>
      </c>
      <c r="J354" s="50">
        <v>34569</v>
      </c>
    </row>
    <row r="355" spans="1:10" x14ac:dyDescent="0.2">
      <c r="A355" s="1" t="s">
        <v>505</v>
      </c>
      <c r="B355" s="1" t="s">
        <v>16</v>
      </c>
      <c r="C355" s="9">
        <v>489667166</v>
      </c>
      <c r="D355" s="10">
        <v>9198249735</v>
      </c>
      <c r="E355" s="1" t="s">
        <v>81</v>
      </c>
      <c r="F355" s="24">
        <v>34172</v>
      </c>
      <c r="G355" s="11">
        <f t="shared" ca="1" si="5"/>
        <v>31</v>
      </c>
      <c r="H355" s="12">
        <v>4</v>
      </c>
      <c r="I355" s="17">
        <v>47897</v>
      </c>
      <c r="J355" s="50">
        <v>34172</v>
      </c>
    </row>
    <row r="356" spans="1:10" x14ac:dyDescent="0.2">
      <c r="A356" s="1" t="s">
        <v>726</v>
      </c>
      <c r="B356" s="1" t="s">
        <v>16</v>
      </c>
      <c r="C356" s="9">
        <v>571821715</v>
      </c>
      <c r="D356" s="10">
        <v>4171765611</v>
      </c>
      <c r="E356" s="1" t="s">
        <v>22</v>
      </c>
      <c r="F356" s="24">
        <v>41314</v>
      </c>
      <c r="G356" s="11">
        <f t="shared" ca="1" si="5"/>
        <v>11</v>
      </c>
      <c r="H356" s="12">
        <v>4</v>
      </c>
      <c r="I356" s="17">
        <v>44161</v>
      </c>
      <c r="J356" s="50">
        <v>41314</v>
      </c>
    </row>
    <row r="357" spans="1:10" x14ac:dyDescent="0.2">
      <c r="A357" s="1" t="s">
        <v>372</v>
      </c>
      <c r="B357" s="1" t="s">
        <v>16</v>
      </c>
      <c r="C357" s="9">
        <v>737152868</v>
      </c>
      <c r="D357" s="10">
        <v>8174679864</v>
      </c>
      <c r="E357" s="1" t="s">
        <v>17</v>
      </c>
      <c r="F357" s="24">
        <v>37066</v>
      </c>
      <c r="G357" s="11">
        <f t="shared" ca="1" si="5"/>
        <v>23</v>
      </c>
      <c r="H357" s="12">
        <v>5</v>
      </c>
      <c r="I357" s="17">
        <v>40651</v>
      </c>
      <c r="J357" s="50">
        <v>37066</v>
      </c>
    </row>
    <row r="358" spans="1:10" x14ac:dyDescent="0.2">
      <c r="A358" s="1" t="s">
        <v>575</v>
      </c>
      <c r="B358" s="1" t="s">
        <v>16</v>
      </c>
      <c r="C358" s="9">
        <v>365499498</v>
      </c>
      <c r="D358" s="10">
        <v>9125981242</v>
      </c>
      <c r="E358" s="1" t="s">
        <v>22</v>
      </c>
      <c r="F358" s="24">
        <v>34090</v>
      </c>
      <c r="G358" s="11">
        <f t="shared" ca="1" si="5"/>
        <v>31</v>
      </c>
      <c r="H358" s="12">
        <v>5</v>
      </c>
      <c r="I358" s="17">
        <v>40638</v>
      </c>
      <c r="J358" s="50">
        <v>34090</v>
      </c>
    </row>
    <row r="359" spans="1:10" x14ac:dyDescent="0.2">
      <c r="A359" s="1" t="s">
        <v>406</v>
      </c>
      <c r="B359" s="1" t="s">
        <v>16</v>
      </c>
      <c r="C359" s="9">
        <v>278129861</v>
      </c>
      <c r="D359" s="10">
        <v>3124106437</v>
      </c>
      <c r="E359" s="1" t="s">
        <v>33</v>
      </c>
      <c r="F359" s="24">
        <v>39229</v>
      </c>
      <c r="G359" s="11">
        <f t="shared" ca="1" si="5"/>
        <v>17</v>
      </c>
      <c r="H359" s="12">
        <v>5</v>
      </c>
      <c r="I359" s="17">
        <v>40632</v>
      </c>
      <c r="J359" s="50">
        <v>39229</v>
      </c>
    </row>
    <row r="360" spans="1:10" x14ac:dyDescent="0.2">
      <c r="A360" s="1" t="s">
        <v>86</v>
      </c>
      <c r="B360" s="1" t="s">
        <v>16</v>
      </c>
      <c r="C360" s="9">
        <v>368385341</v>
      </c>
      <c r="D360" s="10">
        <v>3196007063</v>
      </c>
      <c r="E360" s="1" t="s">
        <v>33</v>
      </c>
      <c r="F360" s="24">
        <v>38005</v>
      </c>
      <c r="G360" s="11">
        <f t="shared" ca="1" si="5"/>
        <v>21</v>
      </c>
      <c r="H360" s="12">
        <v>1</v>
      </c>
      <c r="I360" s="17">
        <v>40443</v>
      </c>
      <c r="J360" s="50">
        <v>38005</v>
      </c>
    </row>
    <row r="361" spans="1:10" x14ac:dyDescent="0.2">
      <c r="A361" s="1" t="s">
        <v>343</v>
      </c>
      <c r="B361" s="1" t="s">
        <v>16</v>
      </c>
      <c r="C361" s="9">
        <v>708082156</v>
      </c>
      <c r="D361" s="10">
        <v>6044221208</v>
      </c>
      <c r="E361" s="1" t="s">
        <v>17</v>
      </c>
      <c r="F361" s="24">
        <v>34921</v>
      </c>
      <c r="G361" s="11">
        <f t="shared" ca="1" si="5"/>
        <v>29</v>
      </c>
      <c r="H361" s="12">
        <v>5</v>
      </c>
      <c r="I361" s="17">
        <v>37700</v>
      </c>
      <c r="J361" s="50">
        <v>34921</v>
      </c>
    </row>
    <row r="362" spans="1:10" x14ac:dyDescent="0.2">
      <c r="A362" s="1" t="s">
        <v>404</v>
      </c>
      <c r="B362" s="1" t="s">
        <v>16</v>
      </c>
      <c r="C362" s="9">
        <v>656572514</v>
      </c>
      <c r="D362" s="10">
        <v>4173274978</v>
      </c>
      <c r="E362" s="1" t="s">
        <v>33</v>
      </c>
      <c r="F362" s="24">
        <v>36988</v>
      </c>
      <c r="G362" s="11">
        <f t="shared" ca="1" si="5"/>
        <v>23</v>
      </c>
      <c r="H362" s="12">
        <v>3</v>
      </c>
      <c r="I362" s="17">
        <v>37544</v>
      </c>
      <c r="J362" s="50">
        <v>36988</v>
      </c>
    </row>
    <row r="363" spans="1:10" x14ac:dyDescent="0.2">
      <c r="A363" s="1" t="s">
        <v>166</v>
      </c>
      <c r="B363" s="1" t="s">
        <v>16</v>
      </c>
      <c r="C363" s="9">
        <v>337943008</v>
      </c>
      <c r="D363" s="10">
        <v>6135344270</v>
      </c>
      <c r="E363" s="1" t="s">
        <v>33</v>
      </c>
      <c r="F363" s="24">
        <v>37238</v>
      </c>
      <c r="G363" s="11">
        <f t="shared" ca="1" si="5"/>
        <v>23</v>
      </c>
      <c r="H363" s="12">
        <v>2</v>
      </c>
      <c r="I363" s="17">
        <v>34827</v>
      </c>
      <c r="J363" s="50">
        <v>37238</v>
      </c>
    </row>
    <row r="364" spans="1:10" x14ac:dyDescent="0.2">
      <c r="A364" s="1" t="s">
        <v>569</v>
      </c>
      <c r="B364" s="1" t="s">
        <v>16</v>
      </c>
      <c r="C364" s="9">
        <v>972791650</v>
      </c>
      <c r="D364" s="10">
        <v>3138407416</v>
      </c>
      <c r="E364" s="1" t="s">
        <v>22</v>
      </c>
      <c r="F364" s="24">
        <v>34274</v>
      </c>
      <c r="G364" s="11">
        <f t="shared" ca="1" si="5"/>
        <v>31</v>
      </c>
      <c r="H364" s="12">
        <v>1</v>
      </c>
      <c r="I364" s="17">
        <v>29770</v>
      </c>
      <c r="J364" s="50">
        <v>34274</v>
      </c>
    </row>
    <row r="365" spans="1:10" x14ac:dyDescent="0.2">
      <c r="A365" s="1" t="s">
        <v>373</v>
      </c>
      <c r="B365" s="1" t="s">
        <v>16</v>
      </c>
      <c r="C365" s="9">
        <v>135965371</v>
      </c>
      <c r="D365" s="10">
        <v>3031683770</v>
      </c>
      <c r="E365" s="1" t="s">
        <v>33</v>
      </c>
      <c r="F365" s="24">
        <v>41218</v>
      </c>
      <c r="G365" s="11">
        <f t="shared" ca="1" si="5"/>
        <v>12</v>
      </c>
      <c r="H365" s="12">
        <v>3</v>
      </c>
      <c r="I365" s="17">
        <v>26052</v>
      </c>
      <c r="J365" s="50">
        <v>41218</v>
      </c>
    </row>
    <row r="366" spans="1:10" x14ac:dyDescent="0.2">
      <c r="A366" s="1" t="s">
        <v>631</v>
      </c>
      <c r="B366" s="1" t="s">
        <v>16</v>
      </c>
      <c r="C366" s="9">
        <v>682791418</v>
      </c>
      <c r="D366" s="10">
        <v>5113709408</v>
      </c>
      <c r="E366" s="1" t="s">
        <v>33</v>
      </c>
      <c r="F366" s="24">
        <v>38008</v>
      </c>
      <c r="G366" s="11">
        <f t="shared" ca="1" si="5"/>
        <v>21</v>
      </c>
      <c r="H366" s="12">
        <v>3</v>
      </c>
      <c r="I366" s="17">
        <v>20683</v>
      </c>
      <c r="J366" s="50">
        <v>38008</v>
      </c>
    </row>
    <row r="367" spans="1:10" x14ac:dyDescent="0.2">
      <c r="A367" s="1" t="s">
        <v>45</v>
      </c>
      <c r="B367" s="1" t="s">
        <v>16</v>
      </c>
      <c r="C367" s="9">
        <v>503349830</v>
      </c>
      <c r="D367" s="10">
        <v>5028467597</v>
      </c>
      <c r="E367" s="1" t="s">
        <v>33</v>
      </c>
      <c r="F367" s="24">
        <v>34186</v>
      </c>
      <c r="G367" s="11">
        <f t="shared" ca="1" si="5"/>
        <v>31</v>
      </c>
      <c r="H367" s="12">
        <v>4</v>
      </c>
      <c r="I367" s="17">
        <v>17017</v>
      </c>
      <c r="J367" s="50">
        <v>34186</v>
      </c>
    </row>
    <row r="368" spans="1:10" x14ac:dyDescent="0.2">
      <c r="A368" s="1" t="s">
        <v>667</v>
      </c>
      <c r="B368" s="1" t="s">
        <v>58</v>
      </c>
      <c r="C368" s="9">
        <v>160184934</v>
      </c>
      <c r="D368" s="10">
        <v>8132238535</v>
      </c>
      <c r="E368" s="1" t="s">
        <v>22</v>
      </c>
      <c r="F368" s="24">
        <v>34771</v>
      </c>
      <c r="G368" s="11">
        <f t="shared" ca="1" si="5"/>
        <v>29</v>
      </c>
      <c r="H368" s="12">
        <v>1</v>
      </c>
      <c r="I368" s="17">
        <v>114374</v>
      </c>
      <c r="J368" s="50">
        <v>34771</v>
      </c>
    </row>
    <row r="369" spans="1:10" x14ac:dyDescent="0.2">
      <c r="A369" s="1" t="s">
        <v>509</v>
      </c>
      <c r="B369" s="1" t="s">
        <v>58</v>
      </c>
      <c r="C369" s="9">
        <v>590896401</v>
      </c>
      <c r="D369" s="10">
        <v>2111919478</v>
      </c>
      <c r="E369" s="1" t="s">
        <v>17</v>
      </c>
      <c r="F369" s="24">
        <v>36591</v>
      </c>
      <c r="G369" s="11">
        <f t="shared" ca="1" si="5"/>
        <v>24</v>
      </c>
      <c r="H369" s="12">
        <v>4</v>
      </c>
      <c r="I369" s="17">
        <v>112411</v>
      </c>
      <c r="J369" s="50">
        <v>36591</v>
      </c>
    </row>
    <row r="370" spans="1:10" x14ac:dyDescent="0.2">
      <c r="A370" s="1" t="s">
        <v>385</v>
      </c>
      <c r="B370" s="1" t="s">
        <v>58</v>
      </c>
      <c r="C370" s="9">
        <v>548283920</v>
      </c>
      <c r="D370" s="10">
        <v>9181308831</v>
      </c>
      <c r="E370" s="1" t="s">
        <v>17</v>
      </c>
      <c r="F370" s="24">
        <v>38670</v>
      </c>
      <c r="G370" s="11">
        <f t="shared" ca="1" si="5"/>
        <v>19</v>
      </c>
      <c r="H370" s="12">
        <v>3</v>
      </c>
      <c r="I370" s="17">
        <v>101530</v>
      </c>
      <c r="J370" s="50">
        <v>38670</v>
      </c>
    </row>
    <row r="371" spans="1:10" x14ac:dyDescent="0.2">
      <c r="A371" s="1" t="s">
        <v>298</v>
      </c>
      <c r="B371" s="1" t="s">
        <v>58</v>
      </c>
      <c r="C371" s="9">
        <v>879114558</v>
      </c>
      <c r="D371" s="10">
        <v>4196650531</v>
      </c>
      <c r="E371" s="1" t="s">
        <v>17</v>
      </c>
      <c r="F371" s="24">
        <v>41239</v>
      </c>
      <c r="G371" s="11">
        <f t="shared" ca="1" si="5"/>
        <v>12</v>
      </c>
      <c r="H371" s="12">
        <v>4</v>
      </c>
      <c r="I371" s="17">
        <v>97630</v>
      </c>
      <c r="J371" s="50">
        <v>41239</v>
      </c>
    </row>
    <row r="372" spans="1:10" x14ac:dyDescent="0.2">
      <c r="A372" s="1" t="s">
        <v>127</v>
      </c>
      <c r="B372" s="1" t="s">
        <v>58</v>
      </c>
      <c r="C372" s="9">
        <v>456946966</v>
      </c>
      <c r="D372" s="10">
        <v>2167405629</v>
      </c>
      <c r="E372" s="1" t="s">
        <v>17</v>
      </c>
      <c r="F372" s="24">
        <v>41200</v>
      </c>
      <c r="G372" s="11">
        <f t="shared" ca="1" si="5"/>
        <v>12</v>
      </c>
      <c r="H372" s="12">
        <v>2</v>
      </c>
      <c r="I372" s="17">
        <v>96226</v>
      </c>
      <c r="J372" s="50">
        <v>41200</v>
      </c>
    </row>
    <row r="373" spans="1:10" x14ac:dyDescent="0.2">
      <c r="A373" s="1" t="s">
        <v>483</v>
      </c>
      <c r="B373" s="1" t="s">
        <v>58</v>
      </c>
      <c r="C373" s="9">
        <v>157257652</v>
      </c>
      <c r="D373" s="10">
        <v>2012126686</v>
      </c>
      <c r="E373" s="1" t="s">
        <v>17</v>
      </c>
      <c r="F373" s="24">
        <v>36914</v>
      </c>
      <c r="G373" s="11">
        <f t="shared" ca="1" si="5"/>
        <v>24</v>
      </c>
      <c r="H373" s="12">
        <v>2</v>
      </c>
      <c r="I373" s="17">
        <v>94224</v>
      </c>
      <c r="J373" s="50">
        <v>36914</v>
      </c>
    </row>
    <row r="374" spans="1:10" x14ac:dyDescent="0.2">
      <c r="A374" s="1" t="s">
        <v>674</v>
      </c>
      <c r="B374" s="1" t="s">
        <v>58</v>
      </c>
      <c r="C374" s="9">
        <v>232896341</v>
      </c>
      <c r="D374" s="10">
        <v>3143046338</v>
      </c>
      <c r="E374" s="1" t="s">
        <v>22</v>
      </c>
      <c r="F374" s="24">
        <v>37765</v>
      </c>
      <c r="G374" s="11">
        <f t="shared" ca="1" si="5"/>
        <v>21</v>
      </c>
      <c r="H374" s="12">
        <v>2</v>
      </c>
      <c r="I374" s="17">
        <v>93366</v>
      </c>
      <c r="J374" s="50">
        <v>37765</v>
      </c>
    </row>
    <row r="375" spans="1:10" x14ac:dyDescent="0.2">
      <c r="A375" s="1" t="s">
        <v>334</v>
      </c>
      <c r="B375" s="1" t="s">
        <v>58</v>
      </c>
      <c r="C375" s="9">
        <v>625531462</v>
      </c>
      <c r="D375" s="10">
        <v>2122520526</v>
      </c>
      <c r="E375" s="1" t="s">
        <v>22</v>
      </c>
      <c r="F375" s="24">
        <v>37333</v>
      </c>
      <c r="G375" s="11">
        <f t="shared" ca="1" si="5"/>
        <v>22</v>
      </c>
      <c r="H375" s="12">
        <v>5</v>
      </c>
      <c r="I375" s="17">
        <v>88933</v>
      </c>
      <c r="J375" s="50">
        <v>37333</v>
      </c>
    </row>
    <row r="376" spans="1:10" x14ac:dyDescent="0.2">
      <c r="A376" s="1" t="s">
        <v>635</v>
      </c>
      <c r="B376" s="1" t="s">
        <v>58</v>
      </c>
      <c r="C376" s="9">
        <v>878902154</v>
      </c>
      <c r="D376" s="10">
        <v>8076648050</v>
      </c>
      <c r="E376" s="1" t="s">
        <v>22</v>
      </c>
      <c r="F376" s="24">
        <v>41400</v>
      </c>
      <c r="G376" s="11">
        <f t="shared" ca="1" si="5"/>
        <v>11</v>
      </c>
      <c r="H376" s="12">
        <v>2</v>
      </c>
      <c r="I376" s="17">
        <v>80834</v>
      </c>
      <c r="J376" s="50">
        <v>41400</v>
      </c>
    </row>
    <row r="377" spans="1:10" x14ac:dyDescent="0.2">
      <c r="A377" s="1" t="s">
        <v>57</v>
      </c>
      <c r="B377" s="1" t="s">
        <v>58</v>
      </c>
      <c r="C377" s="9">
        <v>718930584</v>
      </c>
      <c r="D377" s="10">
        <v>9024378387</v>
      </c>
      <c r="E377" s="1" t="s">
        <v>17</v>
      </c>
      <c r="F377" s="24">
        <v>36314</v>
      </c>
      <c r="G377" s="11">
        <f t="shared" ca="1" si="5"/>
        <v>25</v>
      </c>
      <c r="H377" s="12">
        <v>4</v>
      </c>
      <c r="I377" s="17">
        <v>70447</v>
      </c>
      <c r="J377" s="50">
        <v>36314</v>
      </c>
    </row>
    <row r="378" spans="1:10" x14ac:dyDescent="0.2">
      <c r="A378" s="1" t="s">
        <v>239</v>
      </c>
      <c r="B378" s="1" t="s">
        <v>58</v>
      </c>
      <c r="C378" s="9">
        <v>843299208</v>
      </c>
      <c r="D378" s="10">
        <v>8196060038</v>
      </c>
      <c r="E378" s="1" t="s">
        <v>33</v>
      </c>
      <c r="F378" s="24">
        <v>36017</v>
      </c>
      <c r="G378" s="11">
        <f t="shared" ca="1" si="5"/>
        <v>26</v>
      </c>
      <c r="H378" s="12">
        <v>4</v>
      </c>
      <c r="I378" s="17">
        <v>64227</v>
      </c>
      <c r="J378" s="50">
        <v>36017</v>
      </c>
    </row>
    <row r="379" spans="1:10" x14ac:dyDescent="0.2">
      <c r="A379" s="1" t="s">
        <v>325</v>
      </c>
      <c r="B379" s="1" t="s">
        <v>58</v>
      </c>
      <c r="C379" s="9">
        <v>134557291</v>
      </c>
      <c r="D379" s="10">
        <v>4161658481</v>
      </c>
      <c r="E379" s="1" t="s">
        <v>22</v>
      </c>
      <c r="F379" s="24">
        <v>34608</v>
      </c>
      <c r="G379" s="11">
        <f t="shared" ca="1" si="5"/>
        <v>30</v>
      </c>
      <c r="H379" s="12">
        <v>5</v>
      </c>
      <c r="I379" s="17">
        <v>63115</v>
      </c>
      <c r="J379" s="50">
        <v>34608</v>
      </c>
    </row>
    <row r="380" spans="1:10" x14ac:dyDescent="0.2">
      <c r="A380" s="1" t="s">
        <v>318</v>
      </c>
      <c r="B380" s="1" t="s">
        <v>58</v>
      </c>
      <c r="C380" s="9">
        <v>415299442</v>
      </c>
      <c r="D380" s="10">
        <v>9176609693</v>
      </c>
      <c r="E380" s="1" t="s">
        <v>22</v>
      </c>
      <c r="F380" s="24">
        <v>37434</v>
      </c>
      <c r="G380" s="11">
        <f t="shared" ca="1" si="5"/>
        <v>22</v>
      </c>
      <c r="H380" s="12">
        <v>5</v>
      </c>
      <c r="I380" s="17">
        <v>59085</v>
      </c>
      <c r="J380" s="50">
        <v>37434</v>
      </c>
    </row>
    <row r="381" spans="1:10" x14ac:dyDescent="0.2">
      <c r="A381" s="1" t="s">
        <v>141</v>
      </c>
      <c r="B381" s="1" t="s">
        <v>58</v>
      </c>
      <c r="C381" s="9">
        <v>931977751</v>
      </c>
      <c r="D381" s="10">
        <v>9197528456</v>
      </c>
      <c r="E381" s="1" t="s">
        <v>22</v>
      </c>
      <c r="F381" s="24">
        <v>34484</v>
      </c>
      <c r="G381" s="11">
        <f t="shared" ca="1" si="5"/>
        <v>30</v>
      </c>
      <c r="H381" s="12">
        <v>5</v>
      </c>
      <c r="I381" s="17">
        <v>50843</v>
      </c>
      <c r="J381" s="50">
        <v>34484</v>
      </c>
    </row>
    <row r="382" spans="1:10" x14ac:dyDescent="0.2">
      <c r="A382" s="1" t="s">
        <v>568</v>
      </c>
      <c r="B382" s="1" t="s">
        <v>58</v>
      </c>
      <c r="C382" s="9">
        <v>163350417</v>
      </c>
      <c r="D382" s="10">
        <v>9032304625</v>
      </c>
      <c r="E382" s="1" t="s">
        <v>81</v>
      </c>
      <c r="F382" s="24">
        <v>36248</v>
      </c>
      <c r="G382" s="11">
        <f t="shared" ca="1" si="5"/>
        <v>25</v>
      </c>
      <c r="H382" s="12">
        <v>3</v>
      </c>
      <c r="I382" s="17">
        <v>45906</v>
      </c>
      <c r="J382" s="50">
        <v>36248</v>
      </c>
    </row>
    <row r="383" spans="1:10" x14ac:dyDescent="0.2">
      <c r="A383" s="1" t="s">
        <v>124</v>
      </c>
      <c r="B383" s="1" t="s">
        <v>58</v>
      </c>
      <c r="C383" s="9">
        <v>333947685</v>
      </c>
      <c r="D383" s="10">
        <v>7145261239</v>
      </c>
      <c r="E383" s="1" t="s">
        <v>17</v>
      </c>
      <c r="F383" s="24">
        <v>38103</v>
      </c>
      <c r="G383" s="11">
        <f t="shared" ca="1" si="5"/>
        <v>20</v>
      </c>
      <c r="H383" s="12">
        <v>3</v>
      </c>
      <c r="I383" s="17">
        <v>38402</v>
      </c>
      <c r="J383" s="50">
        <v>38103</v>
      </c>
    </row>
    <row r="384" spans="1:10" x14ac:dyDescent="0.2">
      <c r="A384" s="1" t="s">
        <v>700</v>
      </c>
      <c r="B384" s="1" t="s">
        <v>58</v>
      </c>
      <c r="C384" s="9">
        <v>504735443</v>
      </c>
      <c r="D384" s="10">
        <v>9028488350</v>
      </c>
      <c r="E384" s="1" t="s">
        <v>22</v>
      </c>
      <c r="F384" s="24">
        <v>37042</v>
      </c>
      <c r="G384" s="11">
        <f t="shared" ca="1" si="5"/>
        <v>23</v>
      </c>
      <c r="H384" s="12">
        <v>2</v>
      </c>
      <c r="I384" s="17">
        <v>30576</v>
      </c>
      <c r="J384" s="50">
        <v>37042</v>
      </c>
    </row>
    <row r="385" spans="1:10" x14ac:dyDescent="0.2">
      <c r="A385" s="1" t="s">
        <v>535</v>
      </c>
      <c r="B385" s="1" t="s">
        <v>58</v>
      </c>
      <c r="C385" s="9">
        <v>612295735</v>
      </c>
      <c r="D385" s="10">
        <v>9022244880</v>
      </c>
      <c r="E385" s="1" t="s">
        <v>22</v>
      </c>
      <c r="F385" s="24">
        <v>35988</v>
      </c>
      <c r="G385" s="11">
        <f t="shared" ca="1" si="5"/>
        <v>26</v>
      </c>
      <c r="H385" s="12">
        <v>5</v>
      </c>
      <c r="I385" s="17">
        <v>29718</v>
      </c>
      <c r="J385" s="50">
        <v>35988</v>
      </c>
    </row>
    <row r="386" spans="1:10" x14ac:dyDescent="0.2">
      <c r="A386" s="1" t="s">
        <v>571</v>
      </c>
      <c r="B386" s="1" t="s">
        <v>58</v>
      </c>
      <c r="C386" s="9">
        <v>488831244</v>
      </c>
      <c r="D386" s="10">
        <v>2048217409</v>
      </c>
      <c r="E386" s="1" t="s">
        <v>81</v>
      </c>
      <c r="F386" s="24">
        <v>36951</v>
      </c>
      <c r="G386" s="11">
        <f t="shared" ref="G386:G449" ca="1" si="6">DATEDIF(F386,TODAY(),"Y")</f>
        <v>23</v>
      </c>
      <c r="H386" s="12">
        <v>4</v>
      </c>
      <c r="I386" s="17">
        <v>28168</v>
      </c>
      <c r="J386" s="50">
        <v>36951</v>
      </c>
    </row>
    <row r="387" spans="1:10" x14ac:dyDescent="0.2">
      <c r="A387" s="1" t="s">
        <v>92</v>
      </c>
      <c r="B387" s="1" t="s">
        <v>58</v>
      </c>
      <c r="C387" s="9">
        <v>959750235</v>
      </c>
      <c r="D387" s="10">
        <v>5088097539</v>
      </c>
      <c r="E387" s="1" t="s">
        <v>33</v>
      </c>
      <c r="F387" s="24">
        <v>36828</v>
      </c>
      <c r="G387" s="11">
        <f t="shared" ca="1" si="6"/>
        <v>24</v>
      </c>
      <c r="H387" s="12">
        <v>3</v>
      </c>
      <c r="I387" s="17">
        <v>26650</v>
      </c>
      <c r="J387" s="50">
        <v>36828</v>
      </c>
    </row>
    <row r="388" spans="1:10" x14ac:dyDescent="0.2">
      <c r="A388" s="1" t="s">
        <v>504</v>
      </c>
      <c r="B388" s="1" t="s">
        <v>58</v>
      </c>
      <c r="C388" s="9">
        <v>842774592</v>
      </c>
      <c r="D388" s="10">
        <v>6145993367</v>
      </c>
      <c r="E388" s="1" t="s">
        <v>81</v>
      </c>
      <c r="F388" s="24">
        <v>38694</v>
      </c>
      <c r="G388" s="11">
        <f t="shared" ca="1" si="6"/>
        <v>19</v>
      </c>
      <c r="H388" s="12">
        <v>2</v>
      </c>
      <c r="I388" s="17">
        <v>14357</v>
      </c>
      <c r="J388" s="50">
        <v>38694</v>
      </c>
    </row>
    <row r="389" spans="1:10" x14ac:dyDescent="0.2">
      <c r="A389" s="1" t="s">
        <v>350</v>
      </c>
      <c r="B389" s="1" t="s">
        <v>242</v>
      </c>
      <c r="C389" s="9">
        <v>159594851</v>
      </c>
      <c r="D389" s="10">
        <v>7042172913</v>
      </c>
      <c r="E389" s="1" t="s">
        <v>17</v>
      </c>
      <c r="F389" s="24">
        <v>35275</v>
      </c>
      <c r="G389" s="11">
        <f t="shared" ca="1" si="6"/>
        <v>28</v>
      </c>
      <c r="H389" s="12">
        <v>2</v>
      </c>
      <c r="I389" s="17">
        <v>93210</v>
      </c>
      <c r="J389" s="50">
        <v>35275</v>
      </c>
    </row>
    <row r="390" spans="1:10" x14ac:dyDescent="0.2">
      <c r="A390" s="1" t="s">
        <v>265</v>
      </c>
      <c r="B390" s="1" t="s">
        <v>242</v>
      </c>
      <c r="C390" s="9">
        <v>294130565</v>
      </c>
      <c r="D390" s="10">
        <v>4034588703</v>
      </c>
      <c r="E390" s="1" t="s">
        <v>22</v>
      </c>
      <c r="F390" s="24">
        <v>35681</v>
      </c>
      <c r="G390" s="11">
        <f t="shared" ca="1" si="6"/>
        <v>27</v>
      </c>
      <c r="H390" s="12">
        <v>1</v>
      </c>
      <c r="I390" s="17">
        <v>82147</v>
      </c>
      <c r="J390" s="50">
        <v>35681</v>
      </c>
    </row>
    <row r="391" spans="1:10" x14ac:dyDescent="0.2">
      <c r="A391" s="1" t="s">
        <v>241</v>
      </c>
      <c r="B391" s="1" t="s">
        <v>242</v>
      </c>
      <c r="C391" s="9">
        <v>793256568</v>
      </c>
      <c r="D391" s="10">
        <v>4015394899</v>
      </c>
      <c r="E391" s="1" t="s">
        <v>17</v>
      </c>
      <c r="F391" s="24">
        <v>36434</v>
      </c>
      <c r="G391" s="11">
        <f t="shared" ca="1" si="6"/>
        <v>25</v>
      </c>
      <c r="H391" s="12">
        <v>4</v>
      </c>
      <c r="I391" s="17">
        <v>58266</v>
      </c>
      <c r="J391" s="50">
        <v>36434</v>
      </c>
    </row>
    <row r="392" spans="1:10" x14ac:dyDescent="0.2">
      <c r="A392" s="1" t="s">
        <v>482</v>
      </c>
      <c r="B392" s="1" t="s">
        <v>242</v>
      </c>
      <c r="C392" s="9">
        <v>881242432</v>
      </c>
      <c r="D392" s="10">
        <v>8066689962</v>
      </c>
      <c r="E392" s="1" t="s">
        <v>17</v>
      </c>
      <c r="F392" s="24">
        <v>36318</v>
      </c>
      <c r="G392" s="11">
        <f t="shared" ca="1" si="6"/>
        <v>25</v>
      </c>
      <c r="H392" s="12">
        <v>2</v>
      </c>
      <c r="I392" s="17">
        <v>32656</v>
      </c>
      <c r="J392" s="50">
        <v>36318</v>
      </c>
    </row>
    <row r="393" spans="1:10" x14ac:dyDescent="0.2">
      <c r="A393" s="1" t="s">
        <v>261</v>
      </c>
      <c r="B393" s="1" t="s">
        <v>61</v>
      </c>
      <c r="C393" s="9">
        <v>829216164</v>
      </c>
      <c r="D393" s="10">
        <v>9015876028</v>
      </c>
      <c r="E393" s="1" t="s">
        <v>22</v>
      </c>
      <c r="F393" s="24">
        <v>35604</v>
      </c>
      <c r="G393" s="11">
        <f t="shared" ca="1" si="6"/>
        <v>27</v>
      </c>
      <c r="H393" s="12">
        <v>3</v>
      </c>
      <c r="I393" s="17">
        <v>115505</v>
      </c>
      <c r="J393" s="50">
        <v>35604</v>
      </c>
    </row>
    <row r="394" spans="1:10" x14ac:dyDescent="0.2">
      <c r="A394" s="1" t="s">
        <v>311</v>
      </c>
      <c r="B394" s="1" t="s">
        <v>61</v>
      </c>
      <c r="C394" s="9">
        <v>827277063</v>
      </c>
      <c r="D394" s="10">
        <v>5025804771</v>
      </c>
      <c r="E394" s="1" t="s">
        <v>22</v>
      </c>
      <c r="F394" s="24">
        <v>35569</v>
      </c>
      <c r="G394" s="11">
        <f t="shared" ca="1" si="6"/>
        <v>27</v>
      </c>
      <c r="H394" s="12">
        <v>3</v>
      </c>
      <c r="I394" s="17">
        <v>113139</v>
      </c>
      <c r="J394" s="50">
        <v>35569</v>
      </c>
    </row>
    <row r="395" spans="1:10" x14ac:dyDescent="0.2">
      <c r="A395" s="1" t="s">
        <v>478</v>
      </c>
      <c r="B395" s="1" t="s">
        <v>61</v>
      </c>
      <c r="C395" s="9">
        <v>562497973</v>
      </c>
      <c r="D395" s="10">
        <v>4121617913</v>
      </c>
      <c r="E395" s="1" t="s">
        <v>22</v>
      </c>
      <c r="F395" s="24">
        <v>39094</v>
      </c>
      <c r="G395" s="11">
        <f t="shared" ca="1" si="6"/>
        <v>18</v>
      </c>
      <c r="H395" s="12">
        <v>3</v>
      </c>
      <c r="I395" s="17">
        <v>112060</v>
      </c>
      <c r="J395" s="50">
        <v>39094</v>
      </c>
    </row>
    <row r="396" spans="1:10" x14ac:dyDescent="0.2">
      <c r="A396" s="1" t="s">
        <v>163</v>
      </c>
      <c r="B396" s="1" t="s">
        <v>61</v>
      </c>
      <c r="C396" s="9">
        <v>616055292</v>
      </c>
      <c r="D396" s="10">
        <v>3042350434</v>
      </c>
      <c r="E396" s="1" t="s">
        <v>17</v>
      </c>
      <c r="F396" s="24">
        <v>41487</v>
      </c>
      <c r="G396" s="11">
        <f t="shared" ca="1" si="6"/>
        <v>11</v>
      </c>
      <c r="H396" s="12">
        <v>1</v>
      </c>
      <c r="I396" s="17">
        <v>109590</v>
      </c>
      <c r="J396" s="50">
        <v>41487</v>
      </c>
    </row>
    <row r="397" spans="1:10" x14ac:dyDescent="0.2">
      <c r="A397" s="1" t="s">
        <v>626</v>
      </c>
      <c r="B397" s="1" t="s">
        <v>61</v>
      </c>
      <c r="C397" s="9">
        <v>324069262</v>
      </c>
      <c r="D397" s="10">
        <v>6125048978</v>
      </c>
      <c r="E397" s="1" t="s">
        <v>22</v>
      </c>
      <c r="F397" s="24">
        <v>40524</v>
      </c>
      <c r="G397" s="11">
        <f t="shared" ca="1" si="6"/>
        <v>14</v>
      </c>
      <c r="H397" s="12">
        <v>1</v>
      </c>
      <c r="I397" s="17">
        <v>105144</v>
      </c>
      <c r="J397" s="50">
        <v>40524</v>
      </c>
    </row>
    <row r="398" spans="1:10" x14ac:dyDescent="0.2">
      <c r="A398" s="1" t="s">
        <v>689</v>
      </c>
      <c r="B398" s="1" t="s">
        <v>61</v>
      </c>
      <c r="C398" s="9">
        <v>992674973</v>
      </c>
      <c r="D398" s="10">
        <v>8128824849</v>
      </c>
      <c r="E398" s="1" t="s">
        <v>22</v>
      </c>
      <c r="F398" s="24">
        <v>40545</v>
      </c>
      <c r="G398" s="11">
        <f t="shared" ca="1" si="6"/>
        <v>14</v>
      </c>
      <c r="H398" s="12">
        <v>2</v>
      </c>
      <c r="I398" s="17">
        <v>104117</v>
      </c>
      <c r="J398" s="50">
        <v>40545</v>
      </c>
    </row>
    <row r="399" spans="1:10" x14ac:dyDescent="0.2">
      <c r="A399" s="1" t="s">
        <v>652</v>
      </c>
      <c r="B399" s="1" t="s">
        <v>61</v>
      </c>
      <c r="C399" s="9">
        <v>623823805</v>
      </c>
      <c r="D399" s="10">
        <v>3012485673</v>
      </c>
      <c r="E399" s="1" t="s">
        <v>22</v>
      </c>
      <c r="F399" s="24">
        <v>34509</v>
      </c>
      <c r="G399" s="11">
        <f t="shared" ca="1" si="6"/>
        <v>30</v>
      </c>
      <c r="H399" s="12">
        <v>4</v>
      </c>
      <c r="I399" s="17">
        <v>103701</v>
      </c>
      <c r="J399" s="50">
        <v>34509</v>
      </c>
    </row>
    <row r="400" spans="1:10" x14ac:dyDescent="0.2">
      <c r="A400" s="1" t="s">
        <v>272</v>
      </c>
      <c r="B400" s="1" t="s">
        <v>61</v>
      </c>
      <c r="C400" s="9">
        <v>129397083</v>
      </c>
      <c r="D400" s="10">
        <v>6131628807</v>
      </c>
      <c r="E400" s="1" t="s">
        <v>22</v>
      </c>
      <c r="F400" s="24">
        <v>36279</v>
      </c>
      <c r="G400" s="11">
        <f t="shared" ca="1" si="6"/>
        <v>25</v>
      </c>
      <c r="H400" s="12">
        <v>4</v>
      </c>
      <c r="I400" s="17">
        <v>101335</v>
      </c>
      <c r="J400" s="50">
        <v>36279</v>
      </c>
    </row>
    <row r="401" spans="1:10" x14ac:dyDescent="0.2">
      <c r="A401" s="1" t="s">
        <v>676</v>
      </c>
      <c r="B401" s="1" t="s">
        <v>61</v>
      </c>
      <c r="C401" s="9">
        <v>171868795</v>
      </c>
      <c r="D401" s="10">
        <v>9162447501</v>
      </c>
      <c r="E401" s="1" t="s">
        <v>22</v>
      </c>
      <c r="F401" s="24">
        <v>35607</v>
      </c>
      <c r="G401" s="11">
        <f t="shared" ca="1" si="6"/>
        <v>27</v>
      </c>
      <c r="H401" s="12">
        <v>2</v>
      </c>
      <c r="I401" s="17">
        <v>101192</v>
      </c>
      <c r="J401" s="50">
        <v>35607</v>
      </c>
    </row>
    <row r="402" spans="1:10" x14ac:dyDescent="0.2">
      <c r="A402" s="1" t="s">
        <v>245</v>
      </c>
      <c r="B402" s="1" t="s">
        <v>61</v>
      </c>
      <c r="C402" s="9">
        <v>221347766</v>
      </c>
      <c r="D402" s="10">
        <v>8182969056</v>
      </c>
      <c r="E402" s="1" t="s">
        <v>22</v>
      </c>
      <c r="F402" s="24">
        <v>34745</v>
      </c>
      <c r="G402" s="11">
        <f t="shared" ca="1" si="6"/>
        <v>29</v>
      </c>
      <c r="H402" s="12">
        <v>2</v>
      </c>
      <c r="I402" s="17">
        <v>97981</v>
      </c>
      <c r="J402" s="50">
        <v>34745</v>
      </c>
    </row>
    <row r="403" spans="1:10" x14ac:dyDescent="0.2">
      <c r="A403" s="1" t="s">
        <v>693</v>
      </c>
      <c r="B403" s="1" t="s">
        <v>61</v>
      </c>
      <c r="C403" s="9">
        <v>427811310</v>
      </c>
      <c r="D403" s="10">
        <v>4086860208</v>
      </c>
      <c r="E403" s="1" t="s">
        <v>22</v>
      </c>
      <c r="F403" s="24">
        <v>36836</v>
      </c>
      <c r="G403" s="11">
        <f t="shared" ca="1" si="6"/>
        <v>24</v>
      </c>
      <c r="H403" s="12">
        <v>5</v>
      </c>
      <c r="I403" s="17">
        <v>96889</v>
      </c>
      <c r="J403" s="50">
        <v>36836</v>
      </c>
    </row>
    <row r="404" spans="1:10" x14ac:dyDescent="0.2">
      <c r="A404" s="1" t="s">
        <v>331</v>
      </c>
      <c r="B404" s="1" t="s">
        <v>61</v>
      </c>
      <c r="C404" s="9">
        <v>267218084</v>
      </c>
      <c r="D404" s="10">
        <v>3073919445</v>
      </c>
      <c r="E404" s="1" t="s">
        <v>22</v>
      </c>
      <c r="F404" s="24">
        <v>34978</v>
      </c>
      <c r="G404" s="11">
        <f t="shared" ca="1" si="6"/>
        <v>29</v>
      </c>
      <c r="H404" s="12">
        <v>5</v>
      </c>
      <c r="I404" s="17">
        <v>94939</v>
      </c>
      <c r="J404" s="50">
        <v>34978</v>
      </c>
    </row>
    <row r="405" spans="1:10" x14ac:dyDescent="0.2">
      <c r="A405" s="1" t="s">
        <v>194</v>
      </c>
      <c r="B405" s="1" t="s">
        <v>61</v>
      </c>
      <c r="C405" s="9">
        <v>923123594</v>
      </c>
      <c r="D405" s="10">
        <v>6067280453</v>
      </c>
      <c r="E405" s="1" t="s">
        <v>22</v>
      </c>
      <c r="F405" s="24">
        <v>36770</v>
      </c>
      <c r="G405" s="11">
        <f t="shared" ca="1" si="6"/>
        <v>24</v>
      </c>
      <c r="H405" s="12">
        <v>5</v>
      </c>
      <c r="I405" s="17">
        <v>89076</v>
      </c>
      <c r="J405" s="50">
        <v>36770</v>
      </c>
    </row>
    <row r="406" spans="1:10" x14ac:dyDescent="0.2">
      <c r="A406" s="1" t="s">
        <v>90</v>
      </c>
      <c r="B406" s="1" t="s">
        <v>61</v>
      </c>
      <c r="C406" s="9">
        <v>820244290</v>
      </c>
      <c r="D406" s="10">
        <v>4065699651</v>
      </c>
      <c r="E406" s="1" t="s">
        <v>22</v>
      </c>
      <c r="F406" s="24">
        <v>34795</v>
      </c>
      <c r="G406" s="11">
        <f t="shared" ca="1" si="6"/>
        <v>29</v>
      </c>
      <c r="H406" s="12">
        <v>1</v>
      </c>
      <c r="I406" s="17">
        <v>88413</v>
      </c>
      <c r="J406" s="50">
        <v>34795</v>
      </c>
    </row>
    <row r="407" spans="1:10" x14ac:dyDescent="0.2">
      <c r="A407" s="1" t="s">
        <v>391</v>
      </c>
      <c r="B407" s="1" t="s">
        <v>61</v>
      </c>
      <c r="C407" s="9">
        <v>834061135</v>
      </c>
      <c r="D407" s="10">
        <v>3155915044</v>
      </c>
      <c r="E407" s="1" t="s">
        <v>22</v>
      </c>
      <c r="F407" s="24">
        <v>36246</v>
      </c>
      <c r="G407" s="11">
        <f t="shared" ca="1" si="6"/>
        <v>25</v>
      </c>
      <c r="H407" s="12">
        <v>4</v>
      </c>
      <c r="I407" s="17">
        <v>87399</v>
      </c>
      <c r="J407" s="50">
        <v>36246</v>
      </c>
    </row>
    <row r="408" spans="1:10" x14ac:dyDescent="0.2">
      <c r="A408" s="1" t="s">
        <v>471</v>
      </c>
      <c r="B408" s="1" t="s">
        <v>61</v>
      </c>
      <c r="C408" s="9">
        <v>404589373</v>
      </c>
      <c r="D408" s="10">
        <v>4166503334</v>
      </c>
      <c r="E408" s="1" t="s">
        <v>22</v>
      </c>
      <c r="F408" s="24">
        <v>41237</v>
      </c>
      <c r="G408" s="11">
        <f t="shared" ca="1" si="6"/>
        <v>12</v>
      </c>
      <c r="H408" s="12">
        <v>4</v>
      </c>
      <c r="I408" s="17">
        <v>86892</v>
      </c>
      <c r="J408" s="50">
        <v>41237</v>
      </c>
    </row>
    <row r="409" spans="1:10" x14ac:dyDescent="0.2">
      <c r="A409" s="1" t="s">
        <v>614</v>
      </c>
      <c r="B409" s="1" t="s">
        <v>61</v>
      </c>
      <c r="C409" s="9">
        <v>959568761</v>
      </c>
      <c r="D409" s="10">
        <v>2078085402</v>
      </c>
      <c r="E409" s="1" t="s">
        <v>17</v>
      </c>
      <c r="F409" s="24">
        <v>35369</v>
      </c>
      <c r="G409" s="11">
        <f t="shared" ca="1" si="6"/>
        <v>28</v>
      </c>
      <c r="H409" s="12">
        <v>2</v>
      </c>
      <c r="I409" s="17">
        <v>86723</v>
      </c>
      <c r="J409" s="50">
        <v>35369</v>
      </c>
    </row>
    <row r="410" spans="1:10" x14ac:dyDescent="0.2">
      <c r="A410" s="1" t="s">
        <v>313</v>
      </c>
      <c r="B410" s="1" t="s">
        <v>61</v>
      </c>
      <c r="C410" s="9">
        <v>426812736</v>
      </c>
      <c r="D410" s="10">
        <v>5146801348</v>
      </c>
      <c r="E410" s="1" t="s">
        <v>22</v>
      </c>
      <c r="F410" s="24">
        <v>36000</v>
      </c>
      <c r="G410" s="11">
        <f t="shared" ca="1" si="6"/>
        <v>26</v>
      </c>
      <c r="H410" s="12">
        <v>5</v>
      </c>
      <c r="I410" s="17">
        <v>82004</v>
      </c>
      <c r="J410" s="50">
        <v>36000</v>
      </c>
    </row>
    <row r="411" spans="1:10" x14ac:dyDescent="0.2">
      <c r="A411" s="1" t="s">
        <v>552</v>
      </c>
      <c r="B411" s="1" t="s">
        <v>61</v>
      </c>
      <c r="C411" s="9">
        <v>589649495</v>
      </c>
      <c r="D411" s="10">
        <v>2021888279</v>
      </c>
      <c r="E411" s="1" t="s">
        <v>22</v>
      </c>
      <c r="F411" s="24">
        <v>34324</v>
      </c>
      <c r="G411" s="11">
        <f t="shared" ca="1" si="6"/>
        <v>31</v>
      </c>
      <c r="H411" s="12">
        <v>5</v>
      </c>
      <c r="I411" s="17">
        <v>79911</v>
      </c>
      <c r="J411" s="50">
        <v>34324</v>
      </c>
    </row>
    <row r="412" spans="1:10" x14ac:dyDescent="0.2">
      <c r="A412" s="1" t="s">
        <v>572</v>
      </c>
      <c r="B412" s="1" t="s">
        <v>61</v>
      </c>
      <c r="C412" s="9">
        <v>244171882</v>
      </c>
      <c r="D412" s="10">
        <v>6023324762</v>
      </c>
      <c r="E412" s="1" t="s">
        <v>17</v>
      </c>
      <c r="F412" s="24">
        <v>40650</v>
      </c>
      <c r="G412" s="11">
        <f t="shared" ca="1" si="6"/>
        <v>13</v>
      </c>
      <c r="H412" s="12">
        <v>3</v>
      </c>
      <c r="I412" s="17">
        <v>70200</v>
      </c>
      <c r="J412" s="50">
        <v>40650</v>
      </c>
    </row>
    <row r="413" spans="1:10" x14ac:dyDescent="0.2">
      <c r="A413" s="1" t="s">
        <v>148</v>
      </c>
      <c r="B413" s="1" t="s">
        <v>61</v>
      </c>
      <c r="C413" s="9">
        <v>927043360</v>
      </c>
      <c r="D413" s="10">
        <v>4097429525</v>
      </c>
      <c r="E413" s="1" t="s">
        <v>22</v>
      </c>
      <c r="F413" s="24">
        <v>40271</v>
      </c>
      <c r="G413" s="11">
        <f t="shared" ca="1" si="6"/>
        <v>14</v>
      </c>
      <c r="H413" s="12">
        <v>4</v>
      </c>
      <c r="I413" s="17">
        <v>66287</v>
      </c>
      <c r="J413" s="50">
        <v>40271</v>
      </c>
    </row>
    <row r="414" spans="1:10" x14ac:dyDescent="0.2">
      <c r="A414" s="1" t="s">
        <v>683</v>
      </c>
      <c r="B414" s="1" t="s">
        <v>61</v>
      </c>
      <c r="C414" s="9">
        <v>265323292</v>
      </c>
      <c r="D414" s="10">
        <v>7193906310</v>
      </c>
      <c r="E414" s="1" t="s">
        <v>33</v>
      </c>
      <c r="F414" s="24">
        <v>40166</v>
      </c>
      <c r="G414" s="11">
        <f t="shared" ca="1" si="6"/>
        <v>15</v>
      </c>
      <c r="H414" s="12">
        <v>3</v>
      </c>
      <c r="I414" s="17">
        <v>62088</v>
      </c>
      <c r="J414" s="50">
        <v>40166</v>
      </c>
    </row>
    <row r="415" spans="1:10" x14ac:dyDescent="0.2">
      <c r="A415" s="1" t="s">
        <v>743</v>
      </c>
      <c r="B415" s="1" t="s">
        <v>61</v>
      </c>
      <c r="C415" s="9">
        <v>721169660</v>
      </c>
      <c r="D415" s="10">
        <v>7014471952</v>
      </c>
      <c r="E415" s="1" t="s">
        <v>22</v>
      </c>
      <c r="F415" s="24">
        <v>39674</v>
      </c>
      <c r="G415" s="11">
        <f t="shared" ca="1" si="6"/>
        <v>16</v>
      </c>
      <c r="H415" s="12">
        <v>4</v>
      </c>
      <c r="I415" s="17">
        <v>61178</v>
      </c>
      <c r="J415" s="50">
        <v>39674</v>
      </c>
    </row>
    <row r="416" spans="1:10" x14ac:dyDescent="0.2">
      <c r="A416" s="1" t="s">
        <v>660</v>
      </c>
      <c r="B416" s="1" t="s">
        <v>61</v>
      </c>
      <c r="C416" s="9">
        <v>216607562</v>
      </c>
      <c r="D416" s="10">
        <v>3092889972</v>
      </c>
      <c r="E416" s="1" t="s">
        <v>22</v>
      </c>
      <c r="F416" s="24">
        <v>34748</v>
      </c>
      <c r="G416" s="11">
        <f t="shared" ca="1" si="6"/>
        <v>29</v>
      </c>
      <c r="H416" s="12">
        <v>3</v>
      </c>
      <c r="I416" s="17">
        <v>60983</v>
      </c>
      <c r="J416" s="50">
        <v>34748</v>
      </c>
    </row>
    <row r="417" spans="1:10" x14ac:dyDescent="0.2">
      <c r="A417" s="1" t="s">
        <v>383</v>
      </c>
      <c r="B417" s="1" t="s">
        <v>61</v>
      </c>
      <c r="C417" s="9">
        <v>120479503</v>
      </c>
      <c r="D417" s="10">
        <v>3171569304</v>
      </c>
      <c r="E417" s="1" t="s">
        <v>22</v>
      </c>
      <c r="F417" s="24">
        <v>34445</v>
      </c>
      <c r="G417" s="11">
        <f t="shared" ca="1" si="6"/>
        <v>30</v>
      </c>
      <c r="H417" s="12">
        <v>5</v>
      </c>
      <c r="I417" s="17">
        <v>56654</v>
      </c>
      <c r="J417" s="50">
        <v>34445</v>
      </c>
    </row>
    <row r="418" spans="1:10" x14ac:dyDescent="0.2">
      <c r="A418" s="1" t="s">
        <v>639</v>
      </c>
      <c r="B418" s="1" t="s">
        <v>61</v>
      </c>
      <c r="C418" s="9">
        <v>614562070</v>
      </c>
      <c r="D418" s="10">
        <v>6072259651</v>
      </c>
      <c r="E418" s="1" t="s">
        <v>22</v>
      </c>
      <c r="F418" s="24">
        <v>36206</v>
      </c>
      <c r="G418" s="11">
        <f t="shared" ca="1" si="6"/>
        <v>25</v>
      </c>
      <c r="H418" s="12">
        <v>1</v>
      </c>
      <c r="I418" s="17">
        <v>56433</v>
      </c>
      <c r="J418" s="50">
        <v>36206</v>
      </c>
    </row>
    <row r="419" spans="1:10" x14ac:dyDescent="0.2">
      <c r="A419" s="1" t="s">
        <v>441</v>
      </c>
      <c r="B419" s="1" t="s">
        <v>61</v>
      </c>
      <c r="C419" s="9">
        <v>470719383</v>
      </c>
      <c r="D419" s="10">
        <v>3087710498</v>
      </c>
      <c r="E419" s="1" t="s">
        <v>22</v>
      </c>
      <c r="F419" s="24">
        <v>34487</v>
      </c>
      <c r="G419" s="11">
        <f t="shared" ca="1" si="6"/>
        <v>30</v>
      </c>
      <c r="H419" s="12">
        <v>2</v>
      </c>
      <c r="I419" s="17">
        <v>56147</v>
      </c>
      <c r="J419" s="50">
        <v>34487</v>
      </c>
    </row>
    <row r="420" spans="1:10" x14ac:dyDescent="0.2">
      <c r="A420" s="1" t="s">
        <v>623</v>
      </c>
      <c r="B420" s="1" t="s">
        <v>61</v>
      </c>
      <c r="C420" s="9">
        <v>843064707</v>
      </c>
      <c r="D420" s="10">
        <v>9016012031</v>
      </c>
      <c r="E420" s="1" t="s">
        <v>81</v>
      </c>
      <c r="F420" s="24">
        <v>37196</v>
      </c>
      <c r="G420" s="11">
        <f t="shared" ca="1" si="6"/>
        <v>23</v>
      </c>
      <c r="H420" s="12">
        <v>1</v>
      </c>
      <c r="I420" s="17">
        <v>51693</v>
      </c>
      <c r="J420" s="50">
        <v>37196</v>
      </c>
    </row>
    <row r="421" spans="1:10" x14ac:dyDescent="0.2">
      <c r="A421" s="1" t="s">
        <v>687</v>
      </c>
      <c r="B421" s="1" t="s">
        <v>61</v>
      </c>
      <c r="C421" s="9">
        <v>113699123</v>
      </c>
      <c r="D421" s="10">
        <v>8191391475</v>
      </c>
      <c r="E421" s="1" t="s">
        <v>17</v>
      </c>
      <c r="F421" s="24">
        <v>41335</v>
      </c>
      <c r="G421" s="11">
        <f t="shared" ca="1" si="6"/>
        <v>11</v>
      </c>
      <c r="H421" s="12">
        <v>4</v>
      </c>
      <c r="I421" s="17">
        <v>51272</v>
      </c>
      <c r="J421" s="50">
        <v>41335</v>
      </c>
    </row>
    <row r="422" spans="1:10" x14ac:dyDescent="0.2">
      <c r="A422" s="1" t="s">
        <v>60</v>
      </c>
      <c r="B422" s="1" t="s">
        <v>61</v>
      </c>
      <c r="C422" s="9">
        <v>452255054</v>
      </c>
      <c r="D422" s="10">
        <v>4077317354</v>
      </c>
      <c r="E422" s="1" t="s">
        <v>33</v>
      </c>
      <c r="F422" s="24">
        <v>34369</v>
      </c>
      <c r="G422" s="11">
        <f t="shared" ca="1" si="6"/>
        <v>30</v>
      </c>
      <c r="H422" s="12">
        <v>4</v>
      </c>
      <c r="I422" s="17">
        <v>45559</v>
      </c>
      <c r="J422" s="50">
        <v>34369</v>
      </c>
    </row>
    <row r="423" spans="1:10" x14ac:dyDescent="0.2">
      <c r="A423" s="1" t="s">
        <v>186</v>
      </c>
      <c r="B423" s="1" t="s">
        <v>61</v>
      </c>
      <c r="C423" s="9">
        <v>895408697</v>
      </c>
      <c r="D423" s="10">
        <v>4096799516</v>
      </c>
      <c r="E423" s="1" t="s">
        <v>33</v>
      </c>
      <c r="F423" s="24">
        <v>38337</v>
      </c>
      <c r="G423" s="11">
        <f t="shared" ca="1" si="6"/>
        <v>20</v>
      </c>
      <c r="H423" s="12">
        <v>5</v>
      </c>
      <c r="I423" s="17">
        <v>43953</v>
      </c>
      <c r="J423" s="50">
        <v>38337</v>
      </c>
    </row>
    <row r="424" spans="1:10" x14ac:dyDescent="0.2">
      <c r="A424" s="1" t="s">
        <v>609</v>
      </c>
      <c r="B424" s="1" t="s">
        <v>61</v>
      </c>
      <c r="C424" s="9">
        <v>695198896</v>
      </c>
      <c r="D424" s="10">
        <v>4113976775</v>
      </c>
      <c r="E424" s="1" t="s">
        <v>81</v>
      </c>
      <c r="F424" s="24">
        <v>39011</v>
      </c>
      <c r="G424" s="11">
        <f t="shared" ca="1" si="6"/>
        <v>18</v>
      </c>
      <c r="H424" s="12">
        <v>4</v>
      </c>
      <c r="I424" s="17">
        <v>43566</v>
      </c>
      <c r="J424" s="50">
        <v>39011</v>
      </c>
    </row>
    <row r="425" spans="1:10" x14ac:dyDescent="0.2">
      <c r="A425" s="1" t="s">
        <v>424</v>
      </c>
      <c r="B425" s="1" t="s">
        <v>61</v>
      </c>
      <c r="C425" s="9">
        <v>601942708</v>
      </c>
      <c r="D425" s="10">
        <v>6152212512</v>
      </c>
      <c r="E425" s="1" t="s">
        <v>17</v>
      </c>
      <c r="F425" s="24">
        <v>34678</v>
      </c>
      <c r="G425" s="11">
        <f t="shared" ca="1" si="6"/>
        <v>30</v>
      </c>
      <c r="H425" s="12">
        <v>1</v>
      </c>
      <c r="I425" s="17">
        <v>42445</v>
      </c>
      <c r="J425" s="50">
        <v>34678</v>
      </c>
    </row>
    <row r="426" spans="1:10" x14ac:dyDescent="0.2">
      <c r="A426" s="1" t="s">
        <v>688</v>
      </c>
      <c r="B426" s="1" t="s">
        <v>61</v>
      </c>
      <c r="C426" s="9">
        <v>975857784</v>
      </c>
      <c r="D426" s="10">
        <v>6058426889</v>
      </c>
      <c r="E426" s="1" t="s">
        <v>33</v>
      </c>
      <c r="F426" s="24">
        <v>37562</v>
      </c>
      <c r="G426" s="11">
        <f t="shared" ca="1" si="6"/>
        <v>22</v>
      </c>
      <c r="H426" s="12">
        <v>1</v>
      </c>
      <c r="I426" s="17">
        <v>37707</v>
      </c>
      <c r="J426" s="50">
        <v>37562</v>
      </c>
    </row>
    <row r="427" spans="1:10" x14ac:dyDescent="0.2">
      <c r="A427" s="1" t="s">
        <v>155</v>
      </c>
      <c r="B427" s="1" t="s">
        <v>61</v>
      </c>
      <c r="C427" s="9">
        <v>151532569</v>
      </c>
      <c r="D427" s="10">
        <v>3012005810</v>
      </c>
      <c r="E427" s="1" t="s">
        <v>22</v>
      </c>
      <c r="F427" s="24">
        <v>39783</v>
      </c>
      <c r="G427" s="11">
        <f t="shared" ca="1" si="6"/>
        <v>16</v>
      </c>
      <c r="H427" s="12">
        <v>2</v>
      </c>
      <c r="I427" s="17">
        <v>35828</v>
      </c>
      <c r="J427" s="50">
        <v>39783</v>
      </c>
    </row>
    <row r="428" spans="1:10" x14ac:dyDescent="0.2">
      <c r="A428" s="1" t="s">
        <v>386</v>
      </c>
      <c r="B428" s="1" t="s">
        <v>61</v>
      </c>
      <c r="C428" s="9">
        <v>867100310</v>
      </c>
      <c r="D428" s="10">
        <v>2016354278</v>
      </c>
      <c r="E428" s="1" t="s">
        <v>22</v>
      </c>
      <c r="F428" s="24">
        <v>34503</v>
      </c>
      <c r="G428" s="11">
        <f t="shared" ca="1" si="6"/>
        <v>30</v>
      </c>
      <c r="H428" s="12">
        <v>1</v>
      </c>
      <c r="I428" s="17">
        <v>34268</v>
      </c>
      <c r="J428" s="50">
        <v>34503</v>
      </c>
    </row>
    <row r="429" spans="1:10" x14ac:dyDescent="0.2">
      <c r="A429" s="1" t="s">
        <v>230</v>
      </c>
      <c r="B429" s="1" t="s">
        <v>61</v>
      </c>
      <c r="C429" s="9">
        <v>617795992</v>
      </c>
      <c r="D429" s="10">
        <v>7152375580</v>
      </c>
      <c r="E429" s="1" t="s">
        <v>22</v>
      </c>
      <c r="F429" s="24">
        <v>35768</v>
      </c>
      <c r="G429" s="11">
        <f t="shared" ca="1" si="6"/>
        <v>27</v>
      </c>
      <c r="H429" s="12">
        <v>5</v>
      </c>
      <c r="I429" s="17">
        <v>33579</v>
      </c>
      <c r="J429" s="50">
        <v>35768</v>
      </c>
    </row>
    <row r="430" spans="1:10" x14ac:dyDescent="0.2">
      <c r="A430" s="1" t="s">
        <v>512</v>
      </c>
      <c r="B430" s="1" t="s">
        <v>61</v>
      </c>
      <c r="C430" s="9">
        <v>843632637</v>
      </c>
      <c r="D430" s="10">
        <v>2016069116</v>
      </c>
      <c r="E430" s="1" t="s">
        <v>81</v>
      </c>
      <c r="F430" s="24">
        <v>38578</v>
      </c>
      <c r="G430" s="11">
        <f t="shared" ca="1" si="6"/>
        <v>19</v>
      </c>
      <c r="H430" s="12">
        <v>2</v>
      </c>
      <c r="I430" s="17">
        <v>28142</v>
      </c>
      <c r="J430" s="50">
        <v>38578</v>
      </c>
    </row>
    <row r="431" spans="1:10" x14ac:dyDescent="0.2">
      <c r="A431" s="1" t="s">
        <v>367</v>
      </c>
      <c r="B431" s="1" t="s">
        <v>61</v>
      </c>
      <c r="C431" s="9">
        <v>418701946</v>
      </c>
      <c r="D431" s="10">
        <v>8166674988</v>
      </c>
      <c r="E431" s="1" t="s">
        <v>33</v>
      </c>
      <c r="F431" s="24">
        <v>41260</v>
      </c>
      <c r="G431" s="11">
        <f t="shared" ca="1" si="6"/>
        <v>12</v>
      </c>
      <c r="H431" s="12">
        <v>1</v>
      </c>
      <c r="I431" s="17">
        <v>22003</v>
      </c>
      <c r="J431" s="50">
        <v>41260</v>
      </c>
    </row>
    <row r="432" spans="1:10" x14ac:dyDescent="0.2">
      <c r="A432" s="1" t="s">
        <v>426</v>
      </c>
      <c r="B432" s="1" t="s">
        <v>61</v>
      </c>
      <c r="C432" s="9">
        <v>862698919</v>
      </c>
      <c r="D432" s="10">
        <v>4056252690</v>
      </c>
      <c r="E432" s="1" t="s">
        <v>81</v>
      </c>
      <c r="F432" s="24">
        <v>41270</v>
      </c>
      <c r="G432" s="11">
        <f t="shared" ca="1" si="6"/>
        <v>12</v>
      </c>
      <c r="H432" s="12">
        <v>5</v>
      </c>
      <c r="I432" s="17">
        <v>19573</v>
      </c>
      <c r="J432" s="50">
        <v>41270</v>
      </c>
    </row>
    <row r="433" spans="1:10" x14ac:dyDescent="0.2">
      <c r="A433" s="1" t="s">
        <v>300</v>
      </c>
      <c r="B433" s="1" t="s">
        <v>61</v>
      </c>
      <c r="C433" s="9">
        <v>585815837</v>
      </c>
      <c r="D433" s="10">
        <v>7191876990</v>
      </c>
      <c r="E433" s="1" t="s">
        <v>33</v>
      </c>
      <c r="F433" s="24">
        <v>35484</v>
      </c>
      <c r="G433" s="11">
        <f t="shared" ca="1" si="6"/>
        <v>27</v>
      </c>
      <c r="H433" s="12">
        <v>1</v>
      </c>
      <c r="I433" s="17">
        <v>17466</v>
      </c>
      <c r="J433" s="50">
        <v>35484</v>
      </c>
    </row>
    <row r="434" spans="1:10" x14ac:dyDescent="0.2">
      <c r="A434" s="1" t="s">
        <v>618</v>
      </c>
      <c r="B434" s="1" t="s">
        <v>61</v>
      </c>
      <c r="C434" s="9">
        <v>280304785</v>
      </c>
      <c r="D434" s="10">
        <v>3114141191</v>
      </c>
      <c r="E434" s="1" t="s">
        <v>81</v>
      </c>
      <c r="F434" s="24">
        <v>41319</v>
      </c>
      <c r="G434" s="11">
        <f t="shared" ca="1" si="6"/>
        <v>11</v>
      </c>
      <c r="H434" s="12">
        <v>3</v>
      </c>
      <c r="I434" s="17">
        <v>11934</v>
      </c>
      <c r="J434" s="50">
        <v>41319</v>
      </c>
    </row>
    <row r="435" spans="1:10" x14ac:dyDescent="0.2">
      <c r="A435" s="1" t="s">
        <v>655</v>
      </c>
      <c r="B435" s="1" t="s">
        <v>71</v>
      </c>
      <c r="C435" s="9">
        <v>592709648</v>
      </c>
      <c r="D435" s="10">
        <v>7061971988</v>
      </c>
      <c r="E435" s="1" t="s">
        <v>22</v>
      </c>
      <c r="F435" s="24">
        <v>34147</v>
      </c>
      <c r="G435" s="11">
        <f t="shared" ca="1" si="6"/>
        <v>31</v>
      </c>
      <c r="H435" s="12">
        <v>4</v>
      </c>
      <c r="I435" s="17">
        <v>114335</v>
      </c>
      <c r="J435" s="50">
        <v>34147</v>
      </c>
    </row>
    <row r="436" spans="1:10" x14ac:dyDescent="0.2">
      <c r="A436" s="1" t="s">
        <v>534</v>
      </c>
      <c r="B436" s="1" t="s">
        <v>71</v>
      </c>
      <c r="C436" s="9">
        <v>260815239</v>
      </c>
      <c r="D436" s="10">
        <v>3043766803</v>
      </c>
      <c r="E436" s="1" t="s">
        <v>22</v>
      </c>
      <c r="F436" s="24">
        <v>34403</v>
      </c>
      <c r="G436" s="11">
        <f t="shared" ca="1" si="6"/>
        <v>30</v>
      </c>
      <c r="H436" s="12">
        <v>5</v>
      </c>
      <c r="I436" s="17">
        <v>105989</v>
      </c>
      <c r="J436" s="50">
        <v>34403</v>
      </c>
    </row>
    <row r="437" spans="1:10" x14ac:dyDescent="0.2">
      <c r="A437" s="1" t="s">
        <v>366</v>
      </c>
      <c r="B437" s="1" t="s">
        <v>71</v>
      </c>
      <c r="C437" s="9">
        <v>285295419</v>
      </c>
      <c r="D437" s="10">
        <v>5194252315</v>
      </c>
      <c r="E437" s="1" t="s">
        <v>22</v>
      </c>
      <c r="F437" s="24">
        <v>34327</v>
      </c>
      <c r="G437" s="11">
        <f t="shared" ca="1" si="6"/>
        <v>31</v>
      </c>
      <c r="H437" s="12">
        <v>3</v>
      </c>
      <c r="I437" s="17">
        <v>101036</v>
      </c>
      <c r="J437" s="50">
        <v>34327</v>
      </c>
    </row>
    <row r="438" spans="1:10" x14ac:dyDescent="0.2">
      <c r="A438" s="1" t="s">
        <v>418</v>
      </c>
      <c r="B438" s="1" t="s">
        <v>71</v>
      </c>
      <c r="C438" s="9">
        <v>124203063</v>
      </c>
      <c r="D438" s="10">
        <v>8141603964</v>
      </c>
      <c r="E438" s="1" t="s">
        <v>22</v>
      </c>
      <c r="F438" s="24">
        <v>34113</v>
      </c>
      <c r="G438" s="11">
        <f t="shared" ca="1" si="6"/>
        <v>31</v>
      </c>
      <c r="H438" s="12">
        <v>1</v>
      </c>
      <c r="I438" s="17">
        <v>93249</v>
      </c>
      <c r="J438" s="50">
        <v>34113</v>
      </c>
    </row>
    <row r="439" spans="1:10" x14ac:dyDescent="0.2">
      <c r="A439" s="1" t="s">
        <v>95</v>
      </c>
      <c r="B439" s="1" t="s">
        <v>71</v>
      </c>
      <c r="C439" s="9">
        <v>291274360</v>
      </c>
      <c r="D439" s="10">
        <v>4134316324</v>
      </c>
      <c r="E439" s="1" t="s">
        <v>22</v>
      </c>
      <c r="F439" s="24">
        <v>34307</v>
      </c>
      <c r="G439" s="11">
        <f t="shared" ca="1" si="6"/>
        <v>31</v>
      </c>
      <c r="H439" s="12">
        <v>5</v>
      </c>
      <c r="I439" s="17">
        <v>90220</v>
      </c>
      <c r="J439" s="50">
        <v>34307</v>
      </c>
    </row>
    <row r="440" spans="1:10" x14ac:dyDescent="0.2">
      <c r="A440" s="1" t="s">
        <v>472</v>
      </c>
      <c r="B440" s="1" t="s">
        <v>71</v>
      </c>
      <c r="C440" s="9">
        <v>475517002</v>
      </c>
      <c r="D440" s="10">
        <v>4117853314</v>
      </c>
      <c r="E440" s="1" t="s">
        <v>17</v>
      </c>
      <c r="F440" s="24">
        <v>34153</v>
      </c>
      <c r="G440" s="11">
        <f t="shared" ca="1" si="6"/>
        <v>31</v>
      </c>
      <c r="H440" s="12">
        <v>3</v>
      </c>
      <c r="I440" s="17">
        <v>63791</v>
      </c>
      <c r="J440" s="50">
        <v>34153</v>
      </c>
    </row>
    <row r="441" spans="1:10" x14ac:dyDescent="0.2">
      <c r="A441" s="1" t="s">
        <v>498</v>
      </c>
      <c r="B441" s="1" t="s">
        <v>71</v>
      </c>
      <c r="C441" s="9">
        <v>466947318</v>
      </c>
      <c r="D441" s="10">
        <v>9087557761</v>
      </c>
      <c r="E441" s="1" t="s">
        <v>22</v>
      </c>
      <c r="F441" s="24">
        <v>34455</v>
      </c>
      <c r="G441" s="11">
        <f t="shared" ca="1" si="6"/>
        <v>30</v>
      </c>
      <c r="H441" s="12">
        <v>5</v>
      </c>
      <c r="I441" s="17">
        <v>58006</v>
      </c>
      <c r="J441" s="50">
        <v>34455</v>
      </c>
    </row>
    <row r="442" spans="1:10" x14ac:dyDescent="0.2">
      <c r="A442" s="1" t="s">
        <v>329</v>
      </c>
      <c r="B442" s="1" t="s">
        <v>71</v>
      </c>
      <c r="C442" s="9">
        <v>143534593</v>
      </c>
      <c r="D442" s="10">
        <v>3181774590</v>
      </c>
      <c r="E442" s="1" t="s">
        <v>22</v>
      </c>
      <c r="F442" s="24">
        <v>34380</v>
      </c>
      <c r="G442" s="11">
        <f t="shared" ca="1" si="6"/>
        <v>30</v>
      </c>
      <c r="H442" s="12">
        <v>2</v>
      </c>
      <c r="I442" s="17">
        <v>57928</v>
      </c>
      <c r="J442" s="50">
        <v>34380</v>
      </c>
    </row>
    <row r="443" spans="1:10" x14ac:dyDescent="0.2">
      <c r="A443" s="1" t="s">
        <v>122</v>
      </c>
      <c r="B443" s="1" t="s">
        <v>71</v>
      </c>
      <c r="C443" s="9">
        <v>505966230</v>
      </c>
      <c r="D443" s="10">
        <v>2188552110</v>
      </c>
      <c r="E443" s="1" t="s">
        <v>22</v>
      </c>
      <c r="F443" s="24">
        <v>34046</v>
      </c>
      <c r="G443" s="11">
        <f t="shared" ca="1" si="6"/>
        <v>31</v>
      </c>
      <c r="H443" s="12">
        <v>2</v>
      </c>
      <c r="I443" s="17">
        <v>56043</v>
      </c>
      <c r="J443" s="50">
        <v>34046</v>
      </c>
    </row>
    <row r="444" spans="1:10" x14ac:dyDescent="0.2">
      <c r="A444" s="1" t="s">
        <v>306</v>
      </c>
      <c r="B444" s="1" t="s">
        <v>71</v>
      </c>
      <c r="C444" s="9">
        <v>469591073</v>
      </c>
      <c r="D444" s="10">
        <v>6117687161</v>
      </c>
      <c r="E444" s="1" t="s">
        <v>22</v>
      </c>
      <c r="F444" s="24">
        <v>34053</v>
      </c>
      <c r="G444" s="11">
        <f t="shared" ca="1" si="6"/>
        <v>31</v>
      </c>
      <c r="H444" s="12">
        <v>3</v>
      </c>
      <c r="I444" s="17">
        <v>53222</v>
      </c>
      <c r="J444" s="50">
        <v>34053</v>
      </c>
    </row>
    <row r="445" spans="1:10" x14ac:dyDescent="0.2">
      <c r="A445" s="1" t="s">
        <v>70</v>
      </c>
      <c r="B445" s="1" t="s">
        <v>71</v>
      </c>
      <c r="C445" s="9">
        <v>147724014</v>
      </c>
      <c r="D445" s="10">
        <v>7041868104</v>
      </c>
      <c r="E445" s="1" t="s">
        <v>33</v>
      </c>
      <c r="F445" s="24">
        <v>34027</v>
      </c>
      <c r="G445" s="11">
        <f t="shared" ca="1" si="6"/>
        <v>31</v>
      </c>
      <c r="H445" s="12">
        <v>5</v>
      </c>
      <c r="I445" s="17">
        <v>51506</v>
      </c>
      <c r="J445" s="50">
        <v>34027</v>
      </c>
    </row>
    <row r="446" spans="1:10" x14ac:dyDescent="0.2">
      <c r="A446" s="1" t="s">
        <v>102</v>
      </c>
      <c r="B446" s="1" t="s">
        <v>71</v>
      </c>
      <c r="C446" s="9">
        <v>869524136</v>
      </c>
      <c r="D446" s="10">
        <v>4086446519</v>
      </c>
      <c r="E446" s="1" t="s">
        <v>22</v>
      </c>
      <c r="F446" s="24">
        <v>34187</v>
      </c>
      <c r="G446" s="11">
        <f t="shared" ca="1" si="6"/>
        <v>31</v>
      </c>
      <c r="H446" s="12">
        <v>3</v>
      </c>
      <c r="I446" s="17">
        <v>45916</v>
      </c>
      <c r="J446" s="50">
        <v>34187</v>
      </c>
    </row>
    <row r="447" spans="1:10" x14ac:dyDescent="0.2">
      <c r="A447" s="1" t="s">
        <v>218</v>
      </c>
      <c r="B447" s="1" t="s">
        <v>71</v>
      </c>
      <c r="C447" s="9">
        <v>505680981</v>
      </c>
      <c r="D447" s="10">
        <v>6158527032</v>
      </c>
      <c r="E447" s="1" t="s">
        <v>81</v>
      </c>
      <c r="F447" s="24">
        <v>34025</v>
      </c>
      <c r="G447" s="11">
        <f t="shared" ca="1" si="6"/>
        <v>31</v>
      </c>
      <c r="H447" s="12">
        <v>4</v>
      </c>
      <c r="I447" s="17">
        <v>43202</v>
      </c>
      <c r="J447" s="50">
        <v>34025</v>
      </c>
    </row>
    <row r="448" spans="1:10" x14ac:dyDescent="0.2">
      <c r="A448" s="1" t="s">
        <v>584</v>
      </c>
      <c r="B448" s="1" t="s">
        <v>71</v>
      </c>
      <c r="C448" s="9">
        <v>462461365</v>
      </c>
      <c r="D448" s="10">
        <v>4017469217</v>
      </c>
      <c r="E448" s="1" t="s">
        <v>22</v>
      </c>
      <c r="F448" s="24">
        <v>33980</v>
      </c>
      <c r="G448" s="11">
        <f t="shared" ca="1" si="6"/>
        <v>32</v>
      </c>
      <c r="H448" s="12">
        <v>5</v>
      </c>
      <c r="I448" s="17">
        <v>42380</v>
      </c>
      <c r="J448" s="50">
        <v>33980</v>
      </c>
    </row>
    <row r="449" spans="1:10" x14ac:dyDescent="0.2">
      <c r="A449" s="1" t="s">
        <v>297</v>
      </c>
      <c r="B449" s="1" t="s">
        <v>71</v>
      </c>
      <c r="C449" s="9">
        <v>506577536</v>
      </c>
      <c r="D449" s="10">
        <v>8058566597</v>
      </c>
      <c r="E449" s="1" t="s">
        <v>33</v>
      </c>
      <c r="F449" s="24">
        <v>33979</v>
      </c>
      <c r="G449" s="11">
        <f t="shared" ca="1" si="6"/>
        <v>32</v>
      </c>
      <c r="H449" s="12">
        <v>1</v>
      </c>
      <c r="I449" s="17">
        <v>32260</v>
      </c>
      <c r="J449" s="50">
        <v>33979</v>
      </c>
    </row>
    <row r="450" spans="1:10" x14ac:dyDescent="0.2">
      <c r="A450" s="1" t="s">
        <v>741</v>
      </c>
      <c r="B450" s="1" t="s">
        <v>71</v>
      </c>
      <c r="C450" s="9">
        <v>744830329</v>
      </c>
      <c r="D450" s="10">
        <v>3124727385</v>
      </c>
      <c r="E450" s="1" t="s">
        <v>33</v>
      </c>
      <c r="F450" s="24">
        <v>34216</v>
      </c>
      <c r="G450" s="11">
        <f t="shared" ref="G450:G513" ca="1" si="7">DATEDIF(F450,TODAY(),"Y")</f>
        <v>31</v>
      </c>
      <c r="H450" s="12">
        <v>3</v>
      </c>
      <c r="I450" s="17">
        <v>20820</v>
      </c>
      <c r="J450" s="50">
        <v>34216</v>
      </c>
    </row>
    <row r="451" spans="1:10" x14ac:dyDescent="0.2">
      <c r="A451" s="1" t="s">
        <v>174</v>
      </c>
      <c r="B451" s="1" t="s">
        <v>32</v>
      </c>
      <c r="C451" s="9">
        <v>867671341</v>
      </c>
      <c r="D451" s="10">
        <v>3156408497</v>
      </c>
      <c r="E451" s="1" t="s">
        <v>17</v>
      </c>
      <c r="F451" s="24">
        <v>37654</v>
      </c>
      <c r="G451" s="11">
        <f t="shared" ca="1" si="7"/>
        <v>21</v>
      </c>
      <c r="H451" s="12">
        <v>4</v>
      </c>
      <c r="I451" s="17">
        <v>116532</v>
      </c>
      <c r="J451" s="50">
        <v>37654</v>
      </c>
    </row>
    <row r="452" spans="1:10" x14ac:dyDescent="0.2">
      <c r="A452" s="1" t="s">
        <v>731</v>
      </c>
      <c r="B452" s="1" t="s">
        <v>32</v>
      </c>
      <c r="C452" s="9">
        <v>906321388</v>
      </c>
      <c r="D452" s="10">
        <v>2176973131</v>
      </c>
      <c r="E452" s="1" t="s">
        <v>22</v>
      </c>
      <c r="F452" s="24">
        <v>35560</v>
      </c>
      <c r="G452" s="11">
        <f t="shared" ca="1" si="7"/>
        <v>27</v>
      </c>
      <c r="H452" s="12">
        <v>2</v>
      </c>
      <c r="I452" s="17">
        <v>115466</v>
      </c>
      <c r="J452" s="50">
        <v>35560</v>
      </c>
    </row>
    <row r="453" spans="1:10" x14ac:dyDescent="0.2">
      <c r="A453" s="1" t="s">
        <v>732</v>
      </c>
      <c r="B453" s="1" t="s">
        <v>32</v>
      </c>
      <c r="C453" s="9">
        <v>214291610</v>
      </c>
      <c r="D453" s="10">
        <v>4112889182</v>
      </c>
      <c r="E453" s="1" t="s">
        <v>22</v>
      </c>
      <c r="F453" s="24">
        <v>41491</v>
      </c>
      <c r="G453" s="11">
        <f t="shared" ca="1" si="7"/>
        <v>11</v>
      </c>
      <c r="H453" s="12">
        <v>1</v>
      </c>
      <c r="I453" s="17">
        <v>112450</v>
      </c>
      <c r="J453" s="50">
        <v>41491</v>
      </c>
    </row>
    <row r="454" spans="1:10" x14ac:dyDescent="0.2">
      <c r="A454" s="1" t="s">
        <v>559</v>
      </c>
      <c r="B454" s="1" t="s">
        <v>32</v>
      </c>
      <c r="C454" s="9">
        <v>168147877</v>
      </c>
      <c r="D454" s="10">
        <v>4132400087</v>
      </c>
      <c r="E454" s="1" t="s">
        <v>17</v>
      </c>
      <c r="F454" s="24">
        <v>35525</v>
      </c>
      <c r="G454" s="11">
        <f t="shared" ca="1" si="7"/>
        <v>27</v>
      </c>
      <c r="H454" s="12">
        <v>2</v>
      </c>
      <c r="I454" s="17">
        <v>111774</v>
      </c>
      <c r="J454" s="50">
        <v>35525</v>
      </c>
    </row>
    <row r="455" spans="1:10" x14ac:dyDescent="0.2">
      <c r="A455" s="1" t="s">
        <v>47</v>
      </c>
      <c r="B455" s="1" t="s">
        <v>32</v>
      </c>
      <c r="C455" s="9">
        <v>948480407</v>
      </c>
      <c r="D455" s="10">
        <v>5137961953</v>
      </c>
      <c r="E455" s="1" t="s">
        <v>22</v>
      </c>
      <c r="F455" s="24">
        <v>34393</v>
      </c>
      <c r="G455" s="11">
        <f t="shared" ca="1" si="7"/>
        <v>30</v>
      </c>
      <c r="H455" s="12">
        <v>4</v>
      </c>
      <c r="I455" s="17">
        <v>103220</v>
      </c>
      <c r="J455" s="50">
        <v>34393</v>
      </c>
    </row>
    <row r="456" spans="1:10" x14ac:dyDescent="0.2">
      <c r="A456" s="1" t="s">
        <v>400</v>
      </c>
      <c r="B456" s="1" t="s">
        <v>32</v>
      </c>
      <c r="C456" s="9">
        <v>894855096</v>
      </c>
      <c r="D456" s="10">
        <v>2076798743</v>
      </c>
      <c r="E456" s="1" t="s">
        <v>22</v>
      </c>
      <c r="F456" s="24">
        <v>34327</v>
      </c>
      <c r="G456" s="11">
        <f t="shared" ca="1" si="7"/>
        <v>31</v>
      </c>
      <c r="H456" s="12">
        <v>1</v>
      </c>
      <c r="I456" s="17">
        <v>101062</v>
      </c>
      <c r="J456" s="50">
        <v>34327</v>
      </c>
    </row>
    <row r="457" spans="1:10" x14ac:dyDescent="0.2">
      <c r="A457" s="1" t="s">
        <v>703</v>
      </c>
      <c r="B457" s="1" t="s">
        <v>32</v>
      </c>
      <c r="C457" s="9">
        <v>965916299</v>
      </c>
      <c r="D457" s="10">
        <v>5198294156</v>
      </c>
      <c r="E457" s="1" t="s">
        <v>22</v>
      </c>
      <c r="F457" s="24">
        <v>38715</v>
      </c>
      <c r="G457" s="11">
        <f t="shared" ca="1" si="7"/>
        <v>19</v>
      </c>
      <c r="H457" s="12">
        <v>2</v>
      </c>
      <c r="I457" s="17">
        <v>99983</v>
      </c>
      <c r="J457" s="50">
        <v>38715</v>
      </c>
    </row>
    <row r="458" spans="1:10" x14ac:dyDescent="0.2">
      <c r="A458" s="1" t="s">
        <v>567</v>
      </c>
      <c r="B458" s="1" t="s">
        <v>32</v>
      </c>
      <c r="C458" s="9">
        <v>120361975</v>
      </c>
      <c r="D458" s="10">
        <v>4161549933</v>
      </c>
      <c r="E458" s="1" t="s">
        <v>17</v>
      </c>
      <c r="F458" s="24">
        <v>35782</v>
      </c>
      <c r="G458" s="11">
        <f t="shared" ca="1" si="7"/>
        <v>27</v>
      </c>
      <c r="H458" s="12">
        <v>5</v>
      </c>
      <c r="I458" s="17">
        <v>99931</v>
      </c>
      <c r="J458" s="50">
        <v>35782</v>
      </c>
    </row>
    <row r="459" spans="1:10" x14ac:dyDescent="0.2">
      <c r="A459" s="1" t="s">
        <v>475</v>
      </c>
      <c r="B459" s="1" t="s">
        <v>32</v>
      </c>
      <c r="C459" s="9">
        <v>875920441</v>
      </c>
      <c r="D459" s="10">
        <v>9086526117</v>
      </c>
      <c r="E459" s="1" t="s">
        <v>22</v>
      </c>
      <c r="F459" s="24">
        <v>40084</v>
      </c>
      <c r="G459" s="11">
        <f t="shared" ca="1" si="7"/>
        <v>15</v>
      </c>
      <c r="H459" s="12">
        <v>2</v>
      </c>
      <c r="I459" s="17">
        <v>95979</v>
      </c>
      <c r="J459" s="50">
        <v>40084</v>
      </c>
    </row>
    <row r="460" spans="1:10" x14ac:dyDescent="0.2">
      <c r="A460" s="1" t="s">
        <v>377</v>
      </c>
      <c r="B460" s="1" t="s">
        <v>32</v>
      </c>
      <c r="C460" s="9">
        <v>668708287</v>
      </c>
      <c r="D460" s="10">
        <v>2093557946</v>
      </c>
      <c r="E460" s="1" t="s">
        <v>22</v>
      </c>
      <c r="F460" s="24">
        <v>36785</v>
      </c>
      <c r="G460" s="11">
        <f t="shared" ca="1" si="7"/>
        <v>24</v>
      </c>
      <c r="H460" s="12">
        <v>4</v>
      </c>
      <c r="I460" s="17">
        <v>95862</v>
      </c>
      <c r="J460" s="50">
        <v>36785</v>
      </c>
    </row>
    <row r="461" spans="1:10" x14ac:dyDescent="0.2">
      <c r="A461" s="1" t="s">
        <v>599</v>
      </c>
      <c r="B461" s="1" t="s">
        <v>32</v>
      </c>
      <c r="C461" s="9">
        <v>556327593</v>
      </c>
      <c r="D461" s="10">
        <v>4131472895</v>
      </c>
      <c r="E461" s="1" t="s">
        <v>17</v>
      </c>
      <c r="F461" s="24">
        <v>36013</v>
      </c>
      <c r="G461" s="11">
        <f t="shared" ca="1" si="7"/>
        <v>26</v>
      </c>
      <c r="H461" s="12">
        <v>1</v>
      </c>
      <c r="I461" s="17">
        <v>95147</v>
      </c>
      <c r="J461" s="50">
        <v>36013</v>
      </c>
    </row>
    <row r="462" spans="1:10" x14ac:dyDescent="0.2">
      <c r="A462" s="1" t="s">
        <v>354</v>
      </c>
      <c r="B462" s="1" t="s">
        <v>32</v>
      </c>
      <c r="C462" s="9">
        <v>868364739</v>
      </c>
      <c r="D462" s="10">
        <v>3066422185</v>
      </c>
      <c r="E462" s="1" t="s">
        <v>22</v>
      </c>
      <c r="F462" s="24">
        <v>36153</v>
      </c>
      <c r="G462" s="11">
        <f t="shared" ca="1" si="7"/>
        <v>26</v>
      </c>
      <c r="H462" s="12">
        <v>5</v>
      </c>
      <c r="I462" s="17">
        <v>94510</v>
      </c>
      <c r="J462" s="50">
        <v>36153</v>
      </c>
    </row>
    <row r="463" spans="1:10" x14ac:dyDescent="0.2">
      <c r="A463" s="1" t="s">
        <v>621</v>
      </c>
      <c r="B463" s="1" t="s">
        <v>32</v>
      </c>
      <c r="C463" s="9">
        <v>437460422</v>
      </c>
      <c r="D463" s="10">
        <v>7177091949</v>
      </c>
      <c r="E463" s="1" t="s">
        <v>22</v>
      </c>
      <c r="F463" s="24">
        <v>36036</v>
      </c>
      <c r="G463" s="11">
        <f t="shared" ca="1" si="7"/>
        <v>26</v>
      </c>
      <c r="H463" s="12">
        <v>3</v>
      </c>
      <c r="I463" s="17">
        <v>94432</v>
      </c>
      <c r="J463" s="50">
        <v>36036</v>
      </c>
    </row>
    <row r="464" spans="1:10" x14ac:dyDescent="0.2">
      <c r="A464" s="1" t="s">
        <v>616</v>
      </c>
      <c r="B464" s="1" t="s">
        <v>32</v>
      </c>
      <c r="C464" s="9">
        <v>593584018</v>
      </c>
      <c r="D464" s="10">
        <v>5081999230</v>
      </c>
      <c r="E464" s="1" t="s">
        <v>22</v>
      </c>
      <c r="F464" s="24">
        <v>34440</v>
      </c>
      <c r="G464" s="11">
        <f t="shared" ca="1" si="7"/>
        <v>30</v>
      </c>
      <c r="H464" s="12">
        <v>4</v>
      </c>
      <c r="I464" s="17">
        <v>93184</v>
      </c>
      <c r="J464" s="50">
        <v>34440</v>
      </c>
    </row>
    <row r="465" spans="1:10" x14ac:dyDescent="0.2">
      <c r="A465" s="1" t="s">
        <v>709</v>
      </c>
      <c r="B465" s="1" t="s">
        <v>32</v>
      </c>
      <c r="C465" s="9">
        <v>414905182</v>
      </c>
      <c r="D465" s="10">
        <v>6066576057</v>
      </c>
      <c r="E465" s="1" t="s">
        <v>17</v>
      </c>
      <c r="F465" s="24">
        <v>37242</v>
      </c>
      <c r="G465" s="11">
        <f t="shared" ca="1" si="7"/>
        <v>23</v>
      </c>
      <c r="H465" s="12">
        <v>5</v>
      </c>
      <c r="I465" s="17">
        <v>92690</v>
      </c>
      <c r="J465" s="50">
        <v>37242</v>
      </c>
    </row>
    <row r="466" spans="1:10" x14ac:dyDescent="0.2">
      <c r="A466" s="1" t="s">
        <v>380</v>
      </c>
      <c r="B466" s="1" t="s">
        <v>32</v>
      </c>
      <c r="C466" s="9">
        <v>486016972</v>
      </c>
      <c r="D466" s="10">
        <v>2198159919</v>
      </c>
      <c r="E466" s="1" t="s">
        <v>22</v>
      </c>
      <c r="F466" s="24">
        <v>35036</v>
      </c>
      <c r="G466" s="11">
        <f t="shared" ca="1" si="7"/>
        <v>29</v>
      </c>
      <c r="H466" s="12">
        <v>2</v>
      </c>
      <c r="I466" s="17">
        <v>90246</v>
      </c>
      <c r="J466" s="50">
        <v>35036</v>
      </c>
    </row>
    <row r="467" spans="1:10" x14ac:dyDescent="0.2">
      <c r="A467" s="1" t="s">
        <v>346</v>
      </c>
      <c r="B467" s="1" t="s">
        <v>32</v>
      </c>
      <c r="C467" s="9">
        <v>634954970</v>
      </c>
      <c r="D467" s="10">
        <v>2062687844</v>
      </c>
      <c r="E467" s="1" t="s">
        <v>22</v>
      </c>
      <c r="F467" s="24">
        <v>39914</v>
      </c>
      <c r="G467" s="11">
        <f t="shared" ca="1" si="7"/>
        <v>15</v>
      </c>
      <c r="H467" s="12">
        <v>5</v>
      </c>
      <c r="I467" s="17">
        <v>85644</v>
      </c>
      <c r="J467" s="50">
        <v>39914</v>
      </c>
    </row>
    <row r="468" spans="1:10" x14ac:dyDescent="0.2">
      <c r="A468" s="1" t="s">
        <v>724</v>
      </c>
      <c r="B468" s="1" t="s">
        <v>32</v>
      </c>
      <c r="C468" s="9">
        <v>115404531</v>
      </c>
      <c r="D468" s="10">
        <v>9091408985</v>
      </c>
      <c r="E468" s="1" t="s">
        <v>22</v>
      </c>
      <c r="F468" s="24">
        <v>40731</v>
      </c>
      <c r="G468" s="11">
        <f t="shared" ca="1" si="7"/>
        <v>13</v>
      </c>
      <c r="H468" s="12">
        <v>5</v>
      </c>
      <c r="I468" s="17">
        <v>83616</v>
      </c>
      <c r="J468" s="50">
        <v>40731</v>
      </c>
    </row>
    <row r="469" spans="1:10" x14ac:dyDescent="0.2">
      <c r="A469" s="1" t="s">
        <v>107</v>
      </c>
      <c r="B469" s="1" t="s">
        <v>32</v>
      </c>
      <c r="C469" s="9">
        <v>113377726</v>
      </c>
      <c r="D469" s="10">
        <v>2121389906</v>
      </c>
      <c r="E469" s="1" t="s">
        <v>22</v>
      </c>
      <c r="F469" s="24">
        <v>35016</v>
      </c>
      <c r="G469" s="11">
        <f t="shared" ca="1" si="7"/>
        <v>29</v>
      </c>
      <c r="H469" s="12">
        <v>3</v>
      </c>
      <c r="I469" s="17">
        <v>82472</v>
      </c>
      <c r="J469" s="50">
        <v>35016</v>
      </c>
    </row>
    <row r="470" spans="1:10" x14ac:dyDescent="0.2">
      <c r="A470" s="1" t="s">
        <v>248</v>
      </c>
      <c r="B470" s="1" t="s">
        <v>32</v>
      </c>
      <c r="C470" s="9">
        <v>125540405</v>
      </c>
      <c r="D470" s="10">
        <v>9171614846</v>
      </c>
      <c r="E470" s="1" t="s">
        <v>22</v>
      </c>
      <c r="F470" s="24">
        <v>36395</v>
      </c>
      <c r="G470" s="11">
        <f t="shared" ca="1" si="7"/>
        <v>25</v>
      </c>
      <c r="H470" s="12">
        <v>1</v>
      </c>
      <c r="I470" s="17">
        <v>82251</v>
      </c>
      <c r="J470" s="50">
        <v>36395</v>
      </c>
    </row>
    <row r="471" spans="1:10" x14ac:dyDescent="0.2">
      <c r="A471" s="1" t="s">
        <v>274</v>
      </c>
      <c r="B471" s="1" t="s">
        <v>32</v>
      </c>
      <c r="C471" s="9">
        <v>983047016</v>
      </c>
      <c r="D471" s="10">
        <v>4098545681</v>
      </c>
      <c r="E471" s="1" t="s">
        <v>22</v>
      </c>
      <c r="F471" s="24">
        <v>41344</v>
      </c>
      <c r="G471" s="11">
        <f t="shared" ca="1" si="7"/>
        <v>11</v>
      </c>
      <c r="H471" s="12">
        <v>1</v>
      </c>
      <c r="I471" s="17">
        <v>82168</v>
      </c>
      <c r="J471" s="50">
        <v>41344</v>
      </c>
    </row>
    <row r="472" spans="1:10" x14ac:dyDescent="0.2">
      <c r="A472" s="1" t="s">
        <v>264</v>
      </c>
      <c r="B472" s="1" t="s">
        <v>32</v>
      </c>
      <c r="C472" s="9">
        <v>635767088</v>
      </c>
      <c r="D472" s="10">
        <v>8022712826</v>
      </c>
      <c r="E472" s="1" t="s">
        <v>22</v>
      </c>
      <c r="F472" s="24">
        <v>35089</v>
      </c>
      <c r="G472" s="11">
        <f t="shared" ca="1" si="7"/>
        <v>29</v>
      </c>
      <c r="H472" s="12">
        <v>2</v>
      </c>
      <c r="I472" s="17">
        <v>81494</v>
      </c>
      <c r="J472" s="50">
        <v>35089</v>
      </c>
    </row>
    <row r="473" spans="1:10" x14ac:dyDescent="0.2">
      <c r="A473" s="1" t="s">
        <v>332</v>
      </c>
      <c r="B473" s="1" t="s">
        <v>32</v>
      </c>
      <c r="C473" s="9">
        <v>661850671</v>
      </c>
      <c r="D473" s="10">
        <v>3173441810</v>
      </c>
      <c r="E473" s="1" t="s">
        <v>22</v>
      </c>
      <c r="F473" s="24">
        <v>39657</v>
      </c>
      <c r="G473" s="11">
        <f t="shared" ca="1" si="7"/>
        <v>16</v>
      </c>
      <c r="H473" s="12">
        <v>3</v>
      </c>
      <c r="I473" s="17">
        <v>81494</v>
      </c>
      <c r="J473" s="50">
        <v>39657</v>
      </c>
    </row>
    <row r="474" spans="1:10" x14ac:dyDescent="0.2">
      <c r="A474" s="1" t="s">
        <v>217</v>
      </c>
      <c r="B474" s="1" t="s">
        <v>32</v>
      </c>
      <c r="C474" s="9">
        <v>443238477</v>
      </c>
      <c r="D474" s="10">
        <v>4017102355</v>
      </c>
      <c r="E474" s="1" t="s">
        <v>22</v>
      </c>
      <c r="F474" s="24">
        <v>37403</v>
      </c>
      <c r="G474" s="11">
        <f t="shared" ca="1" si="7"/>
        <v>22</v>
      </c>
      <c r="H474" s="12">
        <v>4</v>
      </c>
      <c r="I474" s="17">
        <v>81120</v>
      </c>
      <c r="J474" s="50">
        <v>37403</v>
      </c>
    </row>
    <row r="475" spans="1:10" x14ac:dyDescent="0.2">
      <c r="A475" s="1" t="s">
        <v>596</v>
      </c>
      <c r="B475" s="1" t="s">
        <v>32</v>
      </c>
      <c r="C475" s="9">
        <v>278431222</v>
      </c>
      <c r="D475" s="10">
        <v>8064111882</v>
      </c>
      <c r="E475" s="1" t="s">
        <v>17</v>
      </c>
      <c r="F475" s="24">
        <v>38393</v>
      </c>
      <c r="G475" s="11">
        <f t="shared" ca="1" si="7"/>
        <v>19</v>
      </c>
      <c r="H475" s="12">
        <v>3</v>
      </c>
      <c r="I475" s="17">
        <v>80054</v>
      </c>
      <c r="J475" s="50">
        <v>38393</v>
      </c>
    </row>
    <row r="476" spans="1:10" x14ac:dyDescent="0.2">
      <c r="A476" s="1" t="s">
        <v>263</v>
      </c>
      <c r="B476" s="1" t="s">
        <v>32</v>
      </c>
      <c r="C476" s="9">
        <v>243062914</v>
      </c>
      <c r="D476" s="10">
        <v>6033265407</v>
      </c>
      <c r="E476" s="1" t="s">
        <v>22</v>
      </c>
      <c r="F476" s="24">
        <v>36825</v>
      </c>
      <c r="G476" s="11">
        <f t="shared" ca="1" si="7"/>
        <v>24</v>
      </c>
      <c r="H476" s="12">
        <v>4</v>
      </c>
      <c r="I476" s="17">
        <v>79846</v>
      </c>
      <c r="J476" s="50">
        <v>36825</v>
      </c>
    </row>
    <row r="477" spans="1:10" x14ac:dyDescent="0.2">
      <c r="A477" s="1" t="s">
        <v>625</v>
      </c>
      <c r="B477" s="1" t="s">
        <v>32</v>
      </c>
      <c r="C477" s="9">
        <v>603301910</v>
      </c>
      <c r="D477" s="10">
        <v>3012224790</v>
      </c>
      <c r="E477" s="1" t="s">
        <v>22</v>
      </c>
      <c r="F477" s="24">
        <v>39290</v>
      </c>
      <c r="G477" s="11">
        <f t="shared" ca="1" si="7"/>
        <v>17</v>
      </c>
      <c r="H477" s="12">
        <v>2</v>
      </c>
      <c r="I477" s="17">
        <v>79729</v>
      </c>
      <c r="J477" s="50">
        <v>39290</v>
      </c>
    </row>
    <row r="478" spans="1:10" x14ac:dyDescent="0.2">
      <c r="A478" s="1" t="s">
        <v>344</v>
      </c>
      <c r="B478" s="1" t="s">
        <v>32</v>
      </c>
      <c r="C478" s="9">
        <v>468953266</v>
      </c>
      <c r="D478" s="10">
        <v>7117682821</v>
      </c>
      <c r="E478" s="1" t="s">
        <v>22</v>
      </c>
      <c r="F478" s="24">
        <v>35961</v>
      </c>
      <c r="G478" s="11">
        <f t="shared" ca="1" si="7"/>
        <v>26</v>
      </c>
      <c r="H478" s="12">
        <v>2</v>
      </c>
      <c r="I478" s="17">
        <v>79492</v>
      </c>
      <c r="J478" s="50">
        <v>35961</v>
      </c>
    </row>
    <row r="479" spans="1:10" x14ac:dyDescent="0.2">
      <c r="A479" s="1" t="s">
        <v>341</v>
      </c>
      <c r="B479" s="1" t="s">
        <v>32</v>
      </c>
      <c r="C479" s="9">
        <v>863161920</v>
      </c>
      <c r="D479" s="10">
        <v>4146259106</v>
      </c>
      <c r="E479" s="1" t="s">
        <v>17</v>
      </c>
      <c r="F479" s="24">
        <v>34525</v>
      </c>
      <c r="G479" s="11">
        <f t="shared" ca="1" si="7"/>
        <v>30</v>
      </c>
      <c r="H479" s="12">
        <v>2</v>
      </c>
      <c r="I479" s="17">
        <v>78715</v>
      </c>
      <c r="J479" s="50">
        <v>34525</v>
      </c>
    </row>
    <row r="480" spans="1:10" x14ac:dyDescent="0.2">
      <c r="A480" s="1" t="s">
        <v>121</v>
      </c>
      <c r="B480" s="1" t="s">
        <v>32</v>
      </c>
      <c r="C480" s="9">
        <v>292993080</v>
      </c>
      <c r="D480" s="10">
        <v>5164563177</v>
      </c>
      <c r="E480" s="1" t="s">
        <v>17</v>
      </c>
      <c r="F480" s="24">
        <v>36168</v>
      </c>
      <c r="G480" s="11">
        <f t="shared" ca="1" si="7"/>
        <v>26</v>
      </c>
      <c r="H480" s="12">
        <v>2</v>
      </c>
      <c r="I480" s="17">
        <v>78091</v>
      </c>
      <c r="J480" s="50">
        <v>36168</v>
      </c>
    </row>
    <row r="481" spans="1:10" x14ac:dyDescent="0.2">
      <c r="A481" s="1" t="s">
        <v>322</v>
      </c>
      <c r="B481" s="1" t="s">
        <v>32</v>
      </c>
      <c r="C481" s="9">
        <v>851400058</v>
      </c>
      <c r="D481" s="10">
        <v>8116100410</v>
      </c>
      <c r="E481" s="1" t="s">
        <v>17</v>
      </c>
      <c r="F481" s="24">
        <v>38271</v>
      </c>
      <c r="G481" s="11">
        <f t="shared" ca="1" si="7"/>
        <v>20</v>
      </c>
      <c r="H481" s="12">
        <v>3</v>
      </c>
      <c r="I481" s="17">
        <v>78091</v>
      </c>
      <c r="J481" s="50">
        <v>38271</v>
      </c>
    </row>
    <row r="482" spans="1:10" x14ac:dyDescent="0.2">
      <c r="A482" s="1" t="s">
        <v>247</v>
      </c>
      <c r="B482" s="1" t="s">
        <v>32</v>
      </c>
      <c r="C482" s="9">
        <v>290385638</v>
      </c>
      <c r="D482" s="10">
        <v>6144273090</v>
      </c>
      <c r="E482" s="1" t="s">
        <v>22</v>
      </c>
      <c r="F482" s="24">
        <v>41305</v>
      </c>
      <c r="G482" s="11">
        <f t="shared" ca="1" si="7"/>
        <v>11</v>
      </c>
      <c r="H482" s="12">
        <v>4</v>
      </c>
      <c r="I482" s="17">
        <v>76895</v>
      </c>
      <c r="J482" s="50">
        <v>41305</v>
      </c>
    </row>
    <row r="483" spans="1:10" x14ac:dyDescent="0.2">
      <c r="A483" s="1" t="s">
        <v>382</v>
      </c>
      <c r="B483" s="1" t="s">
        <v>32</v>
      </c>
      <c r="C483" s="9">
        <v>287476507</v>
      </c>
      <c r="D483" s="10">
        <v>3154264889</v>
      </c>
      <c r="E483" s="1" t="s">
        <v>17</v>
      </c>
      <c r="F483" s="24">
        <v>34101</v>
      </c>
      <c r="G483" s="11">
        <f t="shared" ca="1" si="7"/>
        <v>31</v>
      </c>
      <c r="H483" s="12">
        <v>4</v>
      </c>
      <c r="I483" s="17">
        <v>76245</v>
      </c>
      <c r="J483" s="50">
        <v>34101</v>
      </c>
    </row>
    <row r="484" spans="1:10" x14ac:dyDescent="0.2">
      <c r="A484" s="1" t="s">
        <v>375</v>
      </c>
      <c r="B484" s="1" t="s">
        <v>32</v>
      </c>
      <c r="C484" s="9">
        <v>717503282</v>
      </c>
      <c r="D484" s="10">
        <v>8054375399</v>
      </c>
      <c r="E484" s="1" t="s">
        <v>17</v>
      </c>
      <c r="F484" s="24">
        <v>37164</v>
      </c>
      <c r="G484" s="11">
        <f t="shared" ca="1" si="7"/>
        <v>23</v>
      </c>
      <c r="H484" s="12">
        <v>5</v>
      </c>
      <c r="I484" s="17">
        <v>75387</v>
      </c>
      <c r="J484" s="50">
        <v>37164</v>
      </c>
    </row>
    <row r="485" spans="1:10" x14ac:dyDescent="0.2">
      <c r="A485" s="1" t="s">
        <v>185</v>
      </c>
      <c r="B485" s="1" t="s">
        <v>32</v>
      </c>
      <c r="C485" s="9">
        <v>905675120</v>
      </c>
      <c r="D485" s="10">
        <v>2056969994</v>
      </c>
      <c r="E485" s="1" t="s">
        <v>17</v>
      </c>
      <c r="F485" s="24">
        <v>41277</v>
      </c>
      <c r="G485" s="11">
        <f t="shared" ca="1" si="7"/>
        <v>12</v>
      </c>
      <c r="H485" s="12">
        <v>4</v>
      </c>
      <c r="I485" s="17">
        <v>74984</v>
      </c>
      <c r="J485" s="50">
        <v>41277</v>
      </c>
    </row>
    <row r="486" spans="1:10" x14ac:dyDescent="0.2">
      <c r="A486" s="1" t="s">
        <v>436</v>
      </c>
      <c r="B486" s="1" t="s">
        <v>32</v>
      </c>
      <c r="C486" s="9">
        <v>796079833</v>
      </c>
      <c r="D486" s="10">
        <v>9035506190</v>
      </c>
      <c r="E486" s="1" t="s">
        <v>17</v>
      </c>
      <c r="F486" s="24">
        <v>35345</v>
      </c>
      <c r="G486" s="11">
        <f t="shared" ca="1" si="7"/>
        <v>28</v>
      </c>
      <c r="H486" s="12">
        <v>1</v>
      </c>
      <c r="I486" s="17">
        <v>73645</v>
      </c>
      <c r="J486" s="50">
        <v>35345</v>
      </c>
    </row>
    <row r="487" spans="1:10" x14ac:dyDescent="0.2">
      <c r="A487" s="1" t="s">
        <v>579</v>
      </c>
      <c r="B487" s="1" t="s">
        <v>32</v>
      </c>
      <c r="C487" s="9">
        <v>972086665</v>
      </c>
      <c r="D487" s="10">
        <v>5018405552</v>
      </c>
      <c r="E487" s="1" t="s">
        <v>22</v>
      </c>
      <c r="F487" s="24">
        <v>36955</v>
      </c>
      <c r="G487" s="11">
        <f t="shared" ca="1" si="7"/>
        <v>23</v>
      </c>
      <c r="H487" s="12">
        <v>4</v>
      </c>
      <c r="I487" s="17">
        <v>70954</v>
      </c>
      <c r="J487" s="50">
        <v>36955</v>
      </c>
    </row>
    <row r="488" spans="1:10" x14ac:dyDescent="0.2">
      <c r="A488" s="1" t="s">
        <v>539</v>
      </c>
      <c r="B488" s="1" t="s">
        <v>32</v>
      </c>
      <c r="C488" s="9">
        <v>934447306</v>
      </c>
      <c r="D488" s="10">
        <v>5117692593</v>
      </c>
      <c r="E488" s="1" t="s">
        <v>22</v>
      </c>
      <c r="F488" s="24">
        <v>34377</v>
      </c>
      <c r="G488" s="11">
        <f t="shared" ca="1" si="7"/>
        <v>30</v>
      </c>
      <c r="H488" s="12">
        <v>5</v>
      </c>
      <c r="I488" s="17">
        <v>70850</v>
      </c>
      <c r="J488" s="50">
        <v>34377</v>
      </c>
    </row>
    <row r="489" spans="1:10" x14ac:dyDescent="0.2">
      <c r="A489" s="1" t="s">
        <v>612</v>
      </c>
      <c r="B489" s="1" t="s">
        <v>32</v>
      </c>
      <c r="C489" s="9">
        <v>412611335</v>
      </c>
      <c r="D489" s="10">
        <v>6056565171</v>
      </c>
      <c r="E489" s="1" t="s">
        <v>22</v>
      </c>
      <c r="F489" s="24">
        <v>41004</v>
      </c>
      <c r="G489" s="11">
        <f t="shared" ca="1" si="7"/>
        <v>12</v>
      </c>
      <c r="H489" s="12">
        <v>4</v>
      </c>
      <c r="I489" s="17">
        <v>70447</v>
      </c>
      <c r="J489" s="50">
        <v>41004</v>
      </c>
    </row>
    <row r="490" spans="1:10" x14ac:dyDescent="0.2">
      <c r="A490" s="1" t="s">
        <v>193</v>
      </c>
      <c r="B490" s="1" t="s">
        <v>32</v>
      </c>
      <c r="C490" s="9">
        <v>641962645</v>
      </c>
      <c r="D490" s="10">
        <v>5042822520</v>
      </c>
      <c r="E490" s="1" t="s">
        <v>22</v>
      </c>
      <c r="F490" s="24">
        <v>35856</v>
      </c>
      <c r="G490" s="11">
        <f t="shared" ca="1" si="7"/>
        <v>26</v>
      </c>
      <c r="H490" s="12">
        <v>4</v>
      </c>
      <c r="I490" s="17">
        <v>65741</v>
      </c>
      <c r="J490" s="50">
        <v>35856</v>
      </c>
    </row>
    <row r="491" spans="1:10" x14ac:dyDescent="0.2">
      <c r="A491" s="1" t="s">
        <v>231</v>
      </c>
      <c r="B491" s="1" t="s">
        <v>32</v>
      </c>
      <c r="C491" s="9">
        <v>318068637</v>
      </c>
      <c r="D491" s="10">
        <v>7014998145</v>
      </c>
      <c r="E491" s="1" t="s">
        <v>17</v>
      </c>
      <c r="F491" s="24">
        <v>36408</v>
      </c>
      <c r="G491" s="11">
        <f t="shared" ca="1" si="7"/>
        <v>25</v>
      </c>
      <c r="H491" s="12">
        <v>4</v>
      </c>
      <c r="I491" s="17">
        <v>64389</v>
      </c>
      <c r="J491" s="50">
        <v>36408</v>
      </c>
    </row>
    <row r="492" spans="1:10" x14ac:dyDescent="0.2">
      <c r="A492" s="1" t="s">
        <v>44</v>
      </c>
      <c r="B492" s="1" t="s">
        <v>32</v>
      </c>
      <c r="C492" s="9">
        <v>111616346</v>
      </c>
      <c r="D492" s="10">
        <v>3081282202</v>
      </c>
      <c r="E492" s="1" t="s">
        <v>33</v>
      </c>
      <c r="F492" s="24">
        <v>41288</v>
      </c>
      <c r="G492" s="11">
        <f t="shared" ca="1" si="7"/>
        <v>12</v>
      </c>
      <c r="H492" s="12">
        <v>5</v>
      </c>
      <c r="I492" s="17">
        <v>64162</v>
      </c>
      <c r="J492" s="50">
        <v>41288</v>
      </c>
    </row>
    <row r="493" spans="1:10" x14ac:dyDescent="0.2">
      <c r="A493" s="1" t="s">
        <v>607</v>
      </c>
      <c r="B493" s="1" t="s">
        <v>32</v>
      </c>
      <c r="C493" s="9">
        <v>662247915</v>
      </c>
      <c r="D493" s="10">
        <v>4093451072</v>
      </c>
      <c r="E493" s="1" t="s">
        <v>33</v>
      </c>
      <c r="F493" s="24">
        <v>41121</v>
      </c>
      <c r="G493" s="11">
        <f t="shared" ca="1" si="7"/>
        <v>12</v>
      </c>
      <c r="H493" s="12">
        <v>3</v>
      </c>
      <c r="I493" s="17">
        <v>63310</v>
      </c>
      <c r="J493" s="50">
        <v>41121</v>
      </c>
    </row>
    <row r="494" spans="1:10" x14ac:dyDescent="0.2">
      <c r="A494" s="1" t="s">
        <v>719</v>
      </c>
      <c r="B494" s="1" t="s">
        <v>32</v>
      </c>
      <c r="C494" s="9">
        <v>297852686</v>
      </c>
      <c r="D494" s="10">
        <v>4164633649</v>
      </c>
      <c r="E494" s="1" t="s">
        <v>22</v>
      </c>
      <c r="F494" s="24">
        <v>37540</v>
      </c>
      <c r="G494" s="11">
        <f t="shared" ca="1" si="7"/>
        <v>22</v>
      </c>
      <c r="H494" s="12">
        <v>1</v>
      </c>
      <c r="I494" s="17">
        <v>62829</v>
      </c>
      <c r="J494" s="50">
        <v>37540</v>
      </c>
    </row>
    <row r="495" spans="1:10" x14ac:dyDescent="0.2">
      <c r="A495" s="1" t="s">
        <v>717</v>
      </c>
      <c r="B495" s="1" t="s">
        <v>32</v>
      </c>
      <c r="C495" s="9">
        <v>969216994</v>
      </c>
      <c r="D495" s="10">
        <v>9098367725</v>
      </c>
      <c r="E495" s="1" t="s">
        <v>22</v>
      </c>
      <c r="F495" s="24">
        <v>33965</v>
      </c>
      <c r="G495" s="11">
        <f t="shared" ca="1" si="7"/>
        <v>32</v>
      </c>
      <c r="H495" s="12">
        <v>2</v>
      </c>
      <c r="I495" s="17">
        <v>62504</v>
      </c>
      <c r="J495" s="50">
        <v>33965</v>
      </c>
    </row>
    <row r="496" spans="1:10" x14ac:dyDescent="0.2">
      <c r="A496" s="1" t="s">
        <v>457</v>
      </c>
      <c r="B496" s="1" t="s">
        <v>32</v>
      </c>
      <c r="C496" s="9">
        <v>369210573</v>
      </c>
      <c r="D496" s="10">
        <v>4016026842</v>
      </c>
      <c r="E496" s="1" t="s">
        <v>17</v>
      </c>
      <c r="F496" s="24">
        <v>34505</v>
      </c>
      <c r="G496" s="11">
        <f t="shared" ca="1" si="7"/>
        <v>30</v>
      </c>
      <c r="H496" s="12">
        <v>3</v>
      </c>
      <c r="I496" s="17">
        <v>61867</v>
      </c>
      <c r="J496" s="50">
        <v>34505</v>
      </c>
    </row>
    <row r="497" spans="1:10" x14ac:dyDescent="0.2">
      <c r="A497" s="1" t="s">
        <v>116</v>
      </c>
      <c r="B497" s="1" t="s">
        <v>32</v>
      </c>
      <c r="C497" s="9">
        <v>217968415</v>
      </c>
      <c r="D497" s="10">
        <v>4082911046</v>
      </c>
      <c r="E497" s="1" t="s">
        <v>17</v>
      </c>
      <c r="F497" s="24">
        <v>36953</v>
      </c>
      <c r="G497" s="11">
        <f t="shared" ca="1" si="7"/>
        <v>23</v>
      </c>
      <c r="H497" s="12">
        <v>1</v>
      </c>
      <c r="I497" s="17">
        <v>61776</v>
      </c>
      <c r="J497" s="50">
        <v>36953</v>
      </c>
    </row>
    <row r="498" spans="1:10" x14ac:dyDescent="0.2">
      <c r="A498" s="1" t="s">
        <v>524</v>
      </c>
      <c r="B498" s="1" t="s">
        <v>32</v>
      </c>
      <c r="C498" s="9">
        <v>503036433</v>
      </c>
      <c r="D498" s="10">
        <v>2078444054</v>
      </c>
      <c r="E498" s="1" t="s">
        <v>22</v>
      </c>
      <c r="F498" s="24">
        <v>36086</v>
      </c>
      <c r="G498" s="11">
        <f t="shared" ca="1" si="7"/>
        <v>26</v>
      </c>
      <c r="H498" s="12">
        <v>2</v>
      </c>
      <c r="I498" s="17">
        <v>61542</v>
      </c>
      <c r="J498" s="50">
        <v>36086</v>
      </c>
    </row>
    <row r="499" spans="1:10" x14ac:dyDescent="0.2">
      <c r="A499" s="1" t="s">
        <v>398</v>
      </c>
      <c r="B499" s="1" t="s">
        <v>32</v>
      </c>
      <c r="C499" s="9">
        <v>372693786</v>
      </c>
      <c r="D499" s="10">
        <v>9146052545</v>
      </c>
      <c r="E499" s="1" t="s">
        <v>33</v>
      </c>
      <c r="F499" s="24">
        <v>34538</v>
      </c>
      <c r="G499" s="11">
        <f t="shared" ca="1" si="7"/>
        <v>30</v>
      </c>
      <c r="H499" s="12">
        <v>3</v>
      </c>
      <c r="I499" s="17">
        <v>60294</v>
      </c>
      <c r="J499" s="50">
        <v>34538</v>
      </c>
    </row>
    <row r="500" spans="1:10" x14ac:dyDescent="0.2">
      <c r="A500" s="1" t="s">
        <v>711</v>
      </c>
      <c r="B500" s="1" t="s">
        <v>32</v>
      </c>
      <c r="C500" s="9">
        <v>191359642</v>
      </c>
      <c r="D500" s="10">
        <v>2122636321</v>
      </c>
      <c r="E500" s="1" t="s">
        <v>22</v>
      </c>
      <c r="F500" s="24">
        <v>33995</v>
      </c>
      <c r="G500" s="11">
        <f t="shared" ca="1" si="7"/>
        <v>32</v>
      </c>
      <c r="H500" s="12">
        <v>4</v>
      </c>
      <c r="I500" s="17">
        <v>59943</v>
      </c>
      <c r="J500" s="50">
        <v>33995</v>
      </c>
    </row>
    <row r="501" spans="1:10" x14ac:dyDescent="0.2">
      <c r="A501" s="1" t="s">
        <v>147</v>
      </c>
      <c r="B501" s="1" t="s">
        <v>32</v>
      </c>
      <c r="C501" s="9">
        <v>622200296</v>
      </c>
      <c r="D501" s="10">
        <v>9012453666</v>
      </c>
      <c r="E501" s="1" t="s">
        <v>33</v>
      </c>
      <c r="F501" s="24">
        <v>36951</v>
      </c>
      <c r="G501" s="11">
        <f t="shared" ca="1" si="7"/>
        <v>23</v>
      </c>
      <c r="H501" s="12">
        <v>5</v>
      </c>
      <c r="I501" s="17">
        <v>59475</v>
      </c>
      <c r="J501" s="50">
        <v>36951</v>
      </c>
    </row>
    <row r="502" spans="1:10" x14ac:dyDescent="0.2">
      <c r="A502" s="1" t="s">
        <v>500</v>
      </c>
      <c r="B502" s="1" t="s">
        <v>32</v>
      </c>
      <c r="C502" s="9">
        <v>471064761</v>
      </c>
      <c r="D502" s="10">
        <v>5087726916</v>
      </c>
      <c r="E502" s="1" t="s">
        <v>33</v>
      </c>
      <c r="F502" s="24">
        <v>40595</v>
      </c>
      <c r="G502" s="11">
        <f t="shared" ca="1" si="7"/>
        <v>13</v>
      </c>
      <c r="H502" s="12">
        <v>1</v>
      </c>
      <c r="I502" s="17">
        <v>59235</v>
      </c>
      <c r="J502" s="50">
        <v>40595</v>
      </c>
    </row>
    <row r="503" spans="1:10" x14ac:dyDescent="0.2">
      <c r="A503" s="1" t="s">
        <v>624</v>
      </c>
      <c r="B503" s="1" t="s">
        <v>32</v>
      </c>
      <c r="C503" s="9">
        <v>495042805</v>
      </c>
      <c r="D503" s="10">
        <v>3168356334</v>
      </c>
      <c r="E503" s="1" t="s">
        <v>22</v>
      </c>
      <c r="F503" s="24">
        <v>38435</v>
      </c>
      <c r="G503" s="11">
        <f t="shared" ca="1" si="7"/>
        <v>19</v>
      </c>
      <c r="H503" s="12">
        <v>2</v>
      </c>
      <c r="I503" s="17">
        <v>58630</v>
      </c>
      <c r="J503" s="50">
        <v>38435</v>
      </c>
    </row>
    <row r="504" spans="1:10" x14ac:dyDescent="0.2">
      <c r="A504" s="1" t="s">
        <v>430</v>
      </c>
      <c r="B504" s="1" t="s">
        <v>32</v>
      </c>
      <c r="C504" s="9">
        <v>619465100</v>
      </c>
      <c r="D504" s="10">
        <v>6182390604</v>
      </c>
      <c r="E504" s="1" t="s">
        <v>22</v>
      </c>
      <c r="F504" s="24">
        <v>37003</v>
      </c>
      <c r="G504" s="11">
        <f t="shared" ca="1" si="7"/>
        <v>23</v>
      </c>
      <c r="H504" s="12">
        <v>4</v>
      </c>
      <c r="I504" s="17">
        <v>58500</v>
      </c>
      <c r="J504" s="50">
        <v>37003</v>
      </c>
    </row>
    <row r="505" spans="1:10" x14ac:dyDescent="0.2">
      <c r="A505" s="1" t="s">
        <v>229</v>
      </c>
      <c r="B505" s="1" t="s">
        <v>32</v>
      </c>
      <c r="C505" s="9">
        <v>154984918</v>
      </c>
      <c r="D505" s="10">
        <v>6122064219</v>
      </c>
      <c r="E505" s="1" t="s">
        <v>17</v>
      </c>
      <c r="F505" s="24">
        <v>34816</v>
      </c>
      <c r="G505" s="11">
        <f t="shared" ca="1" si="7"/>
        <v>29</v>
      </c>
      <c r="H505" s="12">
        <v>2</v>
      </c>
      <c r="I505" s="17">
        <v>58136</v>
      </c>
      <c r="J505" s="50">
        <v>34816</v>
      </c>
    </row>
    <row r="506" spans="1:10" x14ac:dyDescent="0.2">
      <c r="A506" s="1" t="s">
        <v>358</v>
      </c>
      <c r="B506" s="1" t="s">
        <v>32</v>
      </c>
      <c r="C506" s="9">
        <v>565952209</v>
      </c>
      <c r="D506" s="10">
        <v>3031630739</v>
      </c>
      <c r="E506" s="1" t="s">
        <v>22</v>
      </c>
      <c r="F506" s="24">
        <v>40313</v>
      </c>
      <c r="G506" s="11">
        <f t="shared" ca="1" si="7"/>
        <v>14</v>
      </c>
      <c r="H506" s="12">
        <v>1</v>
      </c>
      <c r="I506" s="17">
        <v>58045</v>
      </c>
      <c r="J506" s="50">
        <v>40313</v>
      </c>
    </row>
    <row r="507" spans="1:10" x14ac:dyDescent="0.2">
      <c r="A507" s="1" t="s">
        <v>255</v>
      </c>
      <c r="B507" s="1" t="s">
        <v>32</v>
      </c>
      <c r="C507" s="9">
        <v>150132247</v>
      </c>
      <c r="D507" s="10">
        <v>9111957923</v>
      </c>
      <c r="E507" s="1" t="s">
        <v>22</v>
      </c>
      <c r="F507" s="24">
        <v>40229</v>
      </c>
      <c r="G507" s="11">
        <f t="shared" ca="1" si="7"/>
        <v>14</v>
      </c>
      <c r="H507" s="12">
        <v>5</v>
      </c>
      <c r="I507" s="17">
        <v>54626</v>
      </c>
      <c r="J507" s="50">
        <v>40229</v>
      </c>
    </row>
    <row r="508" spans="1:10" x14ac:dyDescent="0.2">
      <c r="A508" s="1" t="s">
        <v>355</v>
      </c>
      <c r="B508" s="1" t="s">
        <v>32</v>
      </c>
      <c r="C508" s="9">
        <v>168791562</v>
      </c>
      <c r="D508" s="10">
        <v>2152433774</v>
      </c>
      <c r="E508" s="1" t="s">
        <v>17</v>
      </c>
      <c r="F508" s="24">
        <v>41271</v>
      </c>
      <c r="G508" s="11">
        <f t="shared" ca="1" si="7"/>
        <v>12</v>
      </c>
      <c r="H508" s="12">
        <v>5</v>
      </c>
      <c r="I508" s="17">
        <v>51415</v>
      </c>
      <c r="J508" s="50">
        <v>41271</v>
      </c>
    </row>
    <row r="509" spans="1:10" x14ac:dyDescent="0.2">
      <c r="A509" s="1" t="s">
        <v>215</v>
      </c>
      <c r="B509" s="1" t="s">
        <v>32</v>
      </c>
      <c r="C509" s="9">
        <v>659929807</v>
      </c>
      <c r="D509" s="10">
        <v>3153386758</v>
      </c>
      <c r="E509" s="1" t="s">
        <v>81</v>
      </c>
      <c r="F509" s="24">
        <v>37207</v>
      </c>
      <c r="G509" s="11">
        <f t="shared" ca="1" si="7"/>
        <v>23</v>
      </c>
      <c r="H509" s="12">
        <v>4</v>
      </c>
      <c r="I509" s="17">
        <v>48121</v>
      </c>
      <c r="J509" s="50">
        <v>37207</v>
      </c>
    </row>
    <row r="510" spans="1:10" x14ac:dyDescent="0.2">
      <c r="A510" s="1" t="s">
        <v>706</v>
      </c>
      <c r="B510" s="1" t="s">
        <v>32</v>
      </c>
      <c r="C510" s="9">
        <v>569882669</v>
      </c>
      <c r="D510" s="10">
        <v>7141675237</v>
      </c>
      <c r="E510" s="1" t="s">
        <v>22</v>
      </c>
      <c r="F510" s="24">
        <v>36857</v>
      </c>
      <c r="G510" s="11">
        <f t="shared" ca="1" si="7"/>
        <v>24</v>
      </c>
      <c r="H510" s="12">
        <v>1</v>
      </c>
      <c r="I510" s="17">
        <v>47957</v>
      </c>
      <c r="J510" s="50">
        <v>36857</v>
      </c>
    </row>
    <row r="511" spans="1:10" x14ac:dyDescent="0.2">
      <c r="A511" s="1" t="s">
        <v>119</v>
      </c>
      <c r="B511" s="1" t="s">
        <v>32</v>
      </c>
      <c r="C511" s="9">
        <v>466400098</v>
      </c>
      <c r="D511" s="10">
        <v>7147553017</v>
      </c>
      <c r="E511" s="1" t="s">
        <v>17</v>
      </c>
      <c r="F511" s="24">
        <v>36566</v>
      </c>
      <c r="G511" s="11">
        <f t="shared" ca="1" si="7"/>
        <v>24</v>
      </c>
      <c r="H511" s="12">
        <v>2</v>
      </c>
      <c r="I511" s="17">
        <v>47099</v>
      </c>
      <c r="J511" s="50">
        <v>36566</v>
      </c>
    </row>
    <row r="512" spans="1:10" x14ac:dyDescent="0.2">
      <c r="A512" s="1" t="s">
        <v>716</v>
      </c>
      <c r="B512" s="1" t="s">
        <v>32</v>
      </c>
      <c r="C512" s="9">
        <v>956291859</v>
      </c>
      <c r="D512" s="10">
        <v>8088082183</v>
      </c>
      <c r="E512" s="1" t="s">
        <v>81</v>
      </c>
      <c r="F512" s="24">
        <v>37247</v>
      </c>
      <c r="G512" s="11">
        <f t="shared" ca="1" si="7"/>
        <v>23</v>
      </c>
      <c r="H512" s="12">
        <v>5</v>
      </c>
      <c r="I512" s="17">
        <v>46868</v>
      </c>
      <c r="J512" s="50">
        <v>37247</v>
      </c>
    </row>
    <row r="513" spans="1:23" x14ac:dyDescent="0.2">
      <c r="A513" s="1" t="s">
        <v>613</v>
      </c>
      <c r="B513" s="1" t="s">
        <v>32</v>
      </c>
      <c r="C513" s="9">
        <v>159117255</v>
      </c>
      <c r="D513" s="10">
        <v>3192140101</v>
      </c>
      <c r="E513" s="1" t="s">
        <v>22</v>
      </c>
      <c r="F513" s="24">
        <v>36483</v>
      </c>
      <c r="G513" s="11">
        <f t="shared" ca="1" si="7"/>
        <v>25</v>
      </c>
      <c r="H513" s="12">
        <v>2</v>
      </c>
      <c r="I513" s="17">
        <v>44278</v>
      </c>
      <c r="J513" s="50">
        <v>36483</v>
      </c>
    </row>
    <row r="514" spans="1:23" x14ac:dyDescent="0.2">
      <c r="A514" s="1" t="s">
        <v>564</v>
      </c>
      <c r="B514" s="1" t="s">
        <v>32</v>
      </c>
      <c r="C514" s="9">
        <v>758001890</v>
      </c>
      <c r="D514" s="10">
        <v>3064900514</v>
      </c>
      <c r="E514" s="1" t="s">
        <v>17</v>
      </c>
      <c r="F514" s="24">
        <v>35593</v>
      </c>
      <c r="G514" s="11">
        <f t="shared" ref="G514:G577" ca="1" si="8">DATEDIF(F514,TODAY(),"Y")</f>
        <v>27</v>
      </c>
      <c r="H514" s="12">
        <v>2</v>
      </c>
      <c r="I514" s="17">
        <v>43056</v>
      </c>
      <c r="J514" s="50">
        <v>35593</v>
      </c>
    </row>
    <row r="515" spans="1:23" x14ac:dyDescent="0.2">
      <c r="A515" s="1" t="s">
        <v>740</v>
      </c>
      <c r="B515" s="1" t="s">
        <v>32</v>
      </c>
      <c r="C515" s="9">
        <v>542214575</v>
      </c>
      <c r="D515" s="10">
        <v>6121264013</v>
      </c>
      <c r="E515" s="1" t="s">
        <v>33</v>
      </c>
      <c r="F515" s="24">
        <v>39040</v>
      </c>
      <c r="G515" s="11">
        <f t="shared" ca="1" si="8"/>
        <v>18</v>
      </c>
      <c r="H515" s="12">
        <v>2</v>
      </c>
      <c r="I515" s="17">
        <v>42770</v>
      </c>
      <c r="J515" s="50">
        <v>39040</v>
      </c>
    </row>
    <row r="516" spans="1:23" x14ac:dyDescent="0.2">
      <c r="A516" s="1" t="s">
        <v>31</v>
      </c>
      <c r="B516" s="1" t="s">
        <v>32</v>
      </c>
      <c r="C516" s="9">
        <v>995858336</v>
      </c>
      <c r="D516" s="10">
        <v>9078979762</v>
      </c>
      <c r="E516" s="1" t="s">
        <v>33</v>
      </c>
      <c r="F516" s="24">
        <v>39649</v>
      </c>
      <c r="G516" s="11">
        <f t="shared" ca="1" si="8"/>
        <v>16</v>
      </c>
      <c r="H516" s="12">
        <v>2</v>
      </c>
      <c r="I516" s="17">
        <v>40567</v>
      </c>
      <c r="J516" s="50">
        <v>39649</v>
      </c>
    </row>
    <row r="517" spans="1:23" x14ac:dyDescent="0.2">
      <c r="A517" s="1" t="s">
        <v>581</v>
      </c>
      <c r="B517" s="1" t="s">
        <v>32</v>
      </c>
      <c r="C517" s="9">
        <v>167058119</v>
      </c>
      <c r="D517" s="10">
        <v>8042344526</v>
      </c>
      <c r="E517" s="1" t="s">
        <v>22</v>
      </c>
      <c r="F517" s="24">
        <v>36018</v>
      </c>
      <c r="G517" s="11">
        <f t="shared" ca="1" si="8"/>
        <v>26</v>
      </c>
      <c r="H517" s="12">
        <v>2</v>
      </c>
      <c r="I517" s="17">
        <v>38688</v>
      </c>
      <c r="J517" s="50">
        <v>36018</v>
      </c>
    </row>
    <row r="518" spans="1:23" x14ac:dyDescent="0.2">
      <c r="A518" s="1" t="s">
        <v>460</v>
      </c>
      <c r="B518" s="1" t="s">
        <v>32</v>
      </c>
      <c r="C518" s="9">
        <v>843875501</v>
      </c>
      <c r="D518" s="10">
        <v>4116082608</v>
      </c>
      <c r="E518" s="1" t="s">
        <v>22</v>
      </c>
      <c r="F518" s="24">
        <v>38005</v>
      </c>
      <c r="G518" s="11">
        <f t="shared" ca="1" si="8"/>
        <v>21</v>
      </c>
      <c r="H518" s="12">
        <v>1</v>
      </c>
      <c r="I518" s="17">
        <v>37869</v>
      </c>
      <c r="J518" s="50">
        <v>38005</v>
      </c>
    </row>
    <row r="519" spans="1:23" x14ac:dyDescent="0.2">
      <c r="A519" s="1" t="s">
        <v>143</v>
      </c>
      <c r="B519" s="1" t="s">
        <v>32</v>
      </c>
      <c r="C519" s="9">
        <v>371001908</v>
      </c>
      <c r="D519" s="10">
        <v>7166049607</v>
      </c>
      <c r="E519" s="1" t="s">
        <v>33</v>
      </c>
      <c r="F519" s="24">
        <v>41033</v>
      </c>
      <c r="G519" s="11">
        <f t="shared" ca="1" si="8"/>
        <v>12</v>
      </c>
      <c r="H519" s="12">
        <v>5</v>
      </c>
      <c r="I519" s="17">
        <v>32819</v>
      </c>
      <c r="J519" s="50">
        <v>41033</v>
      </c>
    </row>
    <row r="520" spans="1:23" x14ac:dyDescent="0.2">
      <c r="A520" s="1" t="s">
        <v>310</v>
      </c>
      <c r="B520" s="1" t="s">
        <v>32</v>
      </c>
      <c r="C520" s="9">
        <v>542653222</v>
      </c>
      <c r="D520" s="10">
        <v>6091264786</v>
      </c>
      <c r="E520" s="1" t="s">
        <v>22</v>
      </c>
      <c r="F520" s="24">
        <v>40766</v>
      </c>
      <c r="G520" s="11">
        <f t="shared" ca="1" si="8"/>
        <v>13</v>
      </c>
      <c r="H520" s="12">
        <v>3</v>
      </c>
      <c r="I520" s="17">
        <v>32227</v>
      </c>
      <c r="J520" s="50">
        <v>40766</v>
      </c>
    </row>
    <row r="521" spans="1:23" x14ac:dyDescent="0.2">
      <c r="A521" s="1" t="s">
        <v>36</v>
      </c>
      <c r="B521" s="1" t="s">
        <v>32</v>
      </c>
      <c r="C521" s="9">
        <v>378882665</v>
      </c>
      <c r="D521" s="10">
        <v>9186101454</v>
      </c>
      <c r="E521" s="1" t="s">
        <v>22</v>
      </c>
      <c r="F521" s="24">
        <v>38222</v>
      </c>
      <c r="G521" s="11">
        <f t="shared" ca="1" si="8"/>
        <v>20</v>
      </c>
      <c r="H521" s="12">
        <v>4</v>
      </c>
      <c r="I521" s="17">
        <v>31642</v>
      </c>
      <c r="J521" s="50">
        <v>38222</v>
      </c>
    </row>
    <row r="522" spans="1:23" x14ac:dyDescent="0.2">
      <c r="A522" s="1" t="s">
        <v>451</v>
      </c>
      <c r="B522" s="1" t="s">
        <v>32</v>
      </c>
      <c r="C522" s="9">
        <v>180095803</v>
      </c>
      <c r="D522" s="10">
        <v>9182551469</v>
      </c>
      <c r="E522" s="1" t="s">
        <v>22</v>
      </c>
      <c r="F522" s="24">
        <v>34228</v>
      </c>
      <c r="G522" s="11">
        <f t="shared" ca="1" si="8"/>
        <v>31</v>
      </c>
      <c r="H522" s="12">
        <v>4</v>
      </c>
      <c r="I522" s="17">
        <v>31317</v>
      </c>
      <c r="J522" s="50">
        <v>34228</v>
      </c>
    </row>
    <row r="523" spans="1:23" x14ac:dyDescent="0.2">
      <c r="A523" s="1" t="s">
        <v>434</v>
      </c>
      <c r="B523" s="1" t="s">
        <v>32</v>
      </c>
      <c r="C523" s="9">
        <v>999156829</v>
      </c>
      <c r="D523" s="10">
        <v>6048986390</v>
      </c>
      <c r="E523" s="1" t="s">
        <v>22</v>
      </c>
      <c r="F523" s="24">
        <v>38568</v>
      </c>
      <c r="G523" s="11">
        <f t="shared" ca="1" si="8"/>
        <v>19</v>
      </c>
      <c r="H523" s="12">
        <v>3</v>
      </c>
      <c r="I523" s="17">
        <v>30628</v>
      </c>
      <c r="J523" s="50">
        <v>38568</v>
      </c>
    </row>
    <row r="524" spans="1:23" x14ac:dyDescent="0.2">
      <c r="A524" s="1" t="s">
        <v>657</v>
      </c>
      <c r="B524" s="1" t="s">
        <v>32</v>
      </c>
      <c r="C524" s="9">
        <v>930314379</v>
      </c>
      <c r="D524" s="10">
        <v>6087494648</v>
      </c>
      <c r="E524" s="1" t="s">
        <v>22</v>
      </c>
      <c r="F524" s="24">
        <v>34928</v>
      </c>
      <c r="G524" s="11">
        <f t="shared" ca="1" si="8"/>
        <v>29</v>
      </c>
      <c r="H524" s="12">
        <v>4</v>
      </c>
      <c r="I524" s="17">
        <v>30316</v>
      </c>
      <c r="J524" s="50">
        <v>34928</v>
      </c>
    </row>
    <row r="525" spans="1:23" x14ac:dyDescent="0.2">
      <c r="A525" s="1" t="s">
        <v>636</v>
      </c>
      <c r="B525" s="1" t="s">
        <v>32</v>
      </c>
      <c r="C525" s="9">
        <v>212136062</v>
      </c>
      <c r="D525" s="10">
        <v>8162842668</v>
      </c>
      <c r="E525" s="1" t="s">
        <v>17</v>
      </c>
      <c r="F525" s="24">
        <v>34034</v>
      </c>
      <c r="G525" s="11">
        <f t="shared" ca="1" si="8"/>
        <v>31</v>
      </c>
      <c r="H525" s="12">
        <v>4</v>
      </c>
      <c r="I525" s="17">
        <v>29926</v>
      </c>
      <c r="J525" s="50">
        <v>34034</v>
      </c>
    </row>
    <row r="526" spans="1:23" x14ac:dyDescent="0.2">
      <c r="A526" s="1" t="s">
        <v>744</v>
      </c>
      <c r="B526" s="1" t="s">
        <v>32</v>
      </c>
      <c r="C526" s="9">
        <v>120224342</v>
      </c>
      <c r="D526" s="10">
        <v>5161544288</v>
      </c>
      <c r="E526" s="1" t="s">
        <v>22</v>
      </c>
      <c r="F526" s="24">
        <v>36688</v>
      </c>
      <c r="G526" s="11">
        <f t="shared" ca="1" si="8"/>
        <v>24</v>
      </c>
      <c r="H526" s="12">
        <v>3</v>
      </c>
      <c r="I526" s="17">
        <v>29731</v>
      </c>
      <c r="J526" s="50">
        <v>36688</v>
      </c>
    </row>
    <row r="527" spans="1:23" x14ac:dyDescent="0.2">
      <c r="A527" s="1" t="s">
        <v>422</v>
      </c>
      <c r="B527" s="1" t="s">
        <v>32</v>
      </c>
      <c r="C527" s="9">
        <v>733881041</v>
      </c>
      <c r="D527" s="10">
        <v>3134629972</v>
      </c>
      <c r="E527" s="1" t="s">
        <v>33</v>
      </c>
      <c r="F527" s="24">
        <v>37084</v>
      </c>
      <c r="G527" s="11">
        <f t="shared" ca="1" si="8"/>
        <v>23</v>
      </c>
      <c r="H527" s="12">
        <v>4</v>
      </c>
      <c r="I527" s="17">
        <v>29218</v>
      </c>
      <c r="J527" s="50">
        <v>37084</v>
      </c>
    </row>
    <row r="528" spans="1:23" x14ac:dyDescent="0.2">
      <c r="A528" s="1" t="s">
        <v>444</v>
      </c>
      <c r="B528" s="1" t="s">
        <v>32</v>
      </c>
      <c r="C528" s="9">
        <v>377194926</v>
      </c>
      <c r="D528" s="10">
        <v>9146079829</v>
      </c>
      <c r="E528" s="1" t="s">
        <v>81</v>
      </c>
      <c r="F528" s="24">
        <v>36895</v>
      </c>
      <c r="G528" s="11">
        <f t="shared" ca="1" si="8"/>
        <v>24</v>
      </c>
      <c r="H528" s="12">
        <v>3</v>
      </c>
      <c r="I528" s="17">
        <v>21694</v>
      </c>
      <c r="J528" s="50">
        <v>36895</v>
      </c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</row>
    <row r="529" spans="1:10" x14ac:dyDescent="0.2">
      <c r="A529" s="1" t="s">
        <v>653</v>
      </c>
      <c r="B529" s="1" t="s">
        <v>32</v>
      </c>
      <c r="C529" s="9">
        <v>690374765</v>
      </c>
      <c r="D529" s="10">
        <v>4033891189</v>
      </c>
      <c r="E529" s="1" t="s">
        <v>81</v>
      </c>
      <c r="F529" s="24">
        <v>36813</v>
      </c>
      <c r="G529" s="11">
        <f t="shared" ca="1" si="8"/>
        <v>24</v>
      </c>
      <c r="H529" s="12">
        <v>5</v>
      </c>
      <c r="I529" s="17">
        <v>18632</v>
      </c>
      <c r="J529" s="50">
        <v>36813</v>
      </c>
    </row>
    <row r="530" spans="1:10" x14ac:dyDescent="0.2">
      <c r="A530" s="1" t="s">
        <v>518</v>
      </c>
      <c r="B530" s="1" t="s">
        <v>32</v>
      </c>
      <c r="C530" s="9">
        <v>209846975</v>
      </c>
      <c r="D530" s="10">
        <v>6042787318</v>
      </c>
      <c r="E530" s="1" t="s">
        <v>33</v>
      </c>
      <c r="F530" s="24">
        <v>38116</v>
      </c>
      <c r="G530" s="11">
        <f t="shared" ca="1" si="8"/>
        <v>20</v>
      </c>
      <c r="H530" s="12">
        <v>4</v>
      </c>
      <c r="I530" s="17">
        <v>16309</v>
      </c>
      <c r="J530" s="50">
        <v>38116</v>
      </c>
    </row>
    <row r="531" spans="1:10" x14ac:dyDescent="0.2">
      <c r="A531" s="1" t="s">
        <v>598</v>
      </c>
      <c r="B531" s="1" t="s">
        <v>32</v>
      </c>
      <c r="C531" s="9">
        <v>671823263</v>
      </c>
      <c r="D531" s="10">
        <v>9163578185</v>
      </c>
      <c r="E531" s="1" t="s">
        <v>33</v>
      </c>
      <c r="F531" s="24">
        <v>41160</v>
      </c>
      <c r="G531" s="11">
        <f t="shared" ca="1" si="8"/>
        <v>12</v>
      </c>
      <c r="H531" s="12">
        <v>1</v>
      </c>
      <c r="I531" s="17">
        <v>15353</v>
      </c>
      <c r="J531" s="50">
        <v>41160</v>
      </c>
    </row>
    <row r="532" spans="1:10" x14ac:dyDescent="0.2">
      <c r="A532" s="1" t="s">
        <v>593</v>
      </c>
      <c r="B532" s="1" t="s">
        <v>32</v>
      </c>
      <c r="C532" s="9">
        <v>788451186</v>
      </c>
      <c r="D532" s="10">
        <v>4185267252</v>
      </c>
      <c r="E532" s="1" t="s">
        <v>33</v>
      </c>
      <c r="F532" s="24">
        <v>35660</v>
      </c>
      <c r="G532" s="11">
        <f t="shared" ca="1" si="8"/>
        <v>27</v>
      </c>
      <c r="H532" s="12">
        <v>4</v>
      </c>
      <c r="I532" s="17">
        <v>13910</v>
      </c>
      <c r="J532" s="50">
        <v>35660</v>
      </c>
    </row>
    <row r="533" spans="1:10" x14ac:dyDescent="0.2">
      <c r="A533" s="1" t="s">
        <v>507</v>
      </c>
      <c r="B533" s="1" t="s">
        <v>32</v>
      </c>
      <c r="C533" s="9">
        <v>618535019</v>
      </c>
      <c r="D533" s="10">
        <v>9182376215</v>
      </c>
      <c r="E533" s="1" t="s">
        <v>33</v>
      </c>
      <c r="F533" s="24">
        <v>39590</v>
      </c>
      <c r="G533" s="11">
        <f t="shared" ca="1" si="8"/>
        <v>16</v>
      </c>
      <c r="H533" s="12">
        <v>3</v>
      </c>
      <c r="I533" s="17">
        <v>13819</v>
      </c>
      <c r="J533" s="50">
        <v>39590</v>
      </c>
    </row>
    <row r="534" spans="1:10" x14ac:dyDescent="0.2">
      <c r="A534" s="1" t="s">
        <v>335</v>
      </c>
      <c r="B534" s="1" t="s">
        <v>52</v>
      </c>
      <c r="C534" s="9">
        <v>422463024</v>
      </c>
      <c r="D534" s="10">
        <v>4046711140</v>
      </c>
      <c r="E534" s="1" t="s">
        <v>17</v>
      </c>
      <c r="F534" s="24">
        <v>34149</v>
      </c>
      <c r="G534" s="11">
        <f t="shared" ca="1" si="8"/>
        <v>31</v>
      </c>
      <c r="H534" s="12">
        <v>2</v>
      </c>
      <c r="I534" s="17">
        <v>116285</v>
      </c>
      <c r="J534" s="50">
        <v>34149</v>
      </c>
    </row>
    <row r="535" spans="1:10" x14ac:dyDescent="0.2">
      <c r="A535" s="1" t="s">
        <v>622</v>
      </c>
      <c r="B535" s="1" t="s">
        <v>52</v>
      </c>
      <c r="C535" s="9">
        <v>288741910</v>
      </c>
      <c r="D535" s="10">
        <v>2154269081</v>
      </c>
      <c r="E535" s="1" t="s">
        <v>22</v>
      </c>
      <c r="F535" s="24">
        <v>34719</v>
      </c>
      <c r="G535" s="11">
        <f t="shared" ca="1" si="8"/>
        <v>30</v>
      </c>
      <c r="H535" s="12">
        <v>1</v>
      </c>
      <c r="I535" s="17">
        <v>112112</v>
      </c>
      <c r="J535" s="50">
        <v>34719</v>
      </c>
    </row>
    <row r="536" spans="1:10" x14ac:dyDescent="0.2">
      <c r="A536" s="1" t="s">
        <v>120</v>
      </c>
      <c r="B536" s="1" t="s">
        <v>52</v>
      </c>
      <c r="C536" s="9">
        <v>202815919</v>
      </c>
      <c r="D536" s="10">
        <v>3172778445</v>
      </c>
      <c r="E536" s="1" t="s">
        <v>17</v>
      </c>
      <c r="F536" s="24">
        <v>36673</v>
      </c>
      <c r="G536" s="11">
        <f t="shared" ca="1" si="8"/>
        <v>24</v>
      </c>
      <c r="H536" s="12">
        <v>4</v>
      </c>
      <c r="I536" s="17">
        <v>111930</v>
      </c>
      <c r="J536" s="50">
        <v>36673</v>
      </c>
    </row>
    <row r="537" spans="1:10" x14ac:dyDescent="0.2">
      <c r="A537" s="1" t="s">
        <v>492</v>
      </c>
      <c r="B537" s="1" t="s">
        <v>52</v>
      </c>
      <c r="C537" s="9">
        <v>708108747</v>
      </c>
      <c r="D537" s="10">
        <v>2034310812</v>
      </c>
      <c r="E537" s="1" t="s">
        <v>17</v>
      </c>
      <c r="F537" s="24">
        <v>39660</v>
      </c>
      <c r="G537" s="11">
        <f t="shared" ca="1" si="8"/>
        <v>16</v>
      </c>
      <c r="H537" s="12">
        <v>2</v>
      </c>
      <c r="I537" s="17">
        <v>111709</v>
      </c>
      <c r="J537" s="50">
        <v>39660</v>
      </c>
    </row>
    <row r="538" spans="1:10" x14ac:dyDescent="0.2">
      <c r="A538" s="1" t="s">
        <v>531</v>
      </c>
      <c r="B538" s="1" t="s">
        <v>52</v>
      </c>
      <c r="C538" s="9">
        <v>467030396</v>
      </c>
      <c r="D538" s="10">
        <v>7137560634</v>
      </c>
      <c r="E538" s="1" t="s">
        <v>22</v>
      </c>
      <c r="F538" s="24">
        <v>39220</v>
      </c>
      <c r="G538" s="11">
        <f t="shared" ca="1" si="8"/>
        <v>17</v>
      </c>
      <c r="H538" s="12">
        <v>3</v>
      </c>
      <c r="I538" s="17">
        <v>108823</v>
      </c>
      <c r="J538" s="50">
        <v>39220</v>
      </c>
    </row>
    <row r="539" spans="1:10" x14ac:dyDescent="0.2">
      <c r="A539" s="1" t="s">
        <v>181</v>
      </c>
      <c r="B539" s="1" t="s">
        <v>52</v>
      </c>
      <c r="C539" s="9">
        <v>126492342</v>
      </c>
      <c r="D539" s="10">
        <v>5161620909</v>
      </c>
      <c r="E539" s="1" t="s">
        <v>22</v>
      </c>
      <c r="F539" s="24">
        <v>35667</v>
      </c>
      <c r="G539" s="11">
        <f t="shared" ca="1" si="8"/>
        <v>27</v>
      </c>
      <c r="H539" s="12">
        <v>3</v>
      </c>
      <c r="I539" s="17">
        <v>107510</v>
      </c>
      <c r="J539" s="50">
        <v>35667</v>
      </c>
    </row>
    <row r="540" spans="1:10" x14ac:dyDescent="0.2">
      <c r="A540" s="1" t="s">
        <v>387</v>
      </c>
      <c r="B540" s="1" t="s">
        <v>52</v>
      </c>
      <c r="C540" s="9">
        <v>658842625</v>
      </c>
      <c r="D540" s="10">
        <v>8023302808</v>
      </c>
      <c r="E540" s="1" t="s">
        <v>22</v>
      </c>
      <c r="F540" s="24">
        <v>38492</v>
      </c>
      <c r="G540" s="11">
        <f t="shared" ca="1" si="8"/>
        <v>19</v>
      </c>
      <c r="H540" s="12">
        <v>5</v>
      </c>
      <c r="I540" s="17">
        <v>107237</v>
      </c>
      <c r="J540" s="50">
        <v>38492</v>
      </c>
    </row>
    <row r="541" spans="1:10" x14ac:dyDescent="0.2">
      <c r="A541" s="1" t="s">
        <v>237</v>
      </c>
      <c r="B541" s="1" t="s">
        <v>52</v>
      </c>
      <c r="C541" s="9">
        <v>513140687</v>
      </c>
      <c r="D541" s="10">
        <v>6048652588</v>
      </c>
      <c r="E541" s="1" t="s">
        <v>22</v>
      </c>
      <c r="F541" s="24">
        <v>41448</v>
      </c>
      <c r="G541" s="11">
        <f t="shared" ca="1" si="8"/>
        <v>11</v>
      </c>
      <c r="H541" s="12">
        <v>3</v>
      </c>
      <c r="I541" s="17">
        <v>104338</v>
      </c>
      <c r="J541" s="50">
        <v>41448</v>
      </c>
    </row>
    <row r="542" spans="1:10" x14ac:dyDescent="0.2">
      <c r="A542" s="1" t="s">
        <v>123</v>
      </c>
      <c r="B542" s="1" t="s">
        <v>52</v>
      </c>
      <c r="C542" s="9">
        <v>160662505</v>
      </c>
      <c r="D542" s="10">
        <v>2162238881</v>
      </c>
      <c r="E542" s="1" t="s">
        <v>22</v>
      </c>
      <c r="F542" s="24">
        <v>36879</v>
      </c>
      <c r="G542" s="11">
        <f t="shared" ca="1" si="8"/>
        <v>24</v>
      </c>
      <c r="H542" s="12">
        <v>1</v>
      </c>
      <c r="I542" s="17">
        <v>102635</v>
      </c>
      <c r="J542" s="50">
        <v>36879</v>
      </c>
    </row>
    <row r="543" spans="1:10" x14ac:dyDescent="0.2">
      <c r="A543" s="1" t="s">
        <v>281</v>
      </c>
      <c r="B543" s="1" t="s">
        <v>52</v>
      </c>
      <c r="C543" s="9">
        <v>302854692</v>
      </c>
      <c r="D543" s="10">
        <v>8144694617</v>
      </c>
      <c r="E543" s="1" t="s">
        <v>22</v>
      </c>
      <c r="F543" s="24">
        <v>36364</v>
      </c>
      <c r="G543" s="11">
        <f t="shared" ca="1" si="8"/>
        <v>25</v>
      </c>
      <c r="H543" s="12">
        <v>4</v>
      </c>
      <c r="I543" s="17">
        <v>102323</v>
      </c>
      <c r="J543" s="50">
        <v>36364</v>
      </c>
    </row>
    <row r="544" spans="1:10" x14ac:dyDescent="0.2">
      <c r="A544" s="1" t="s">
        <v>666</v>
      </c>
      <c r="B544" s="1" t="s">
        <v>52</v>
      </c>
      <c r="C544" s="9">
        <v>635240617</v>
      </c>
      <c r="D544" s="10">
        <v>8052693355</v>
      </c>
      <c r="E544" s="1" t="s">
        <v>17</v>
      </c>
      <c r="F544" s="24">
        <v>37509</v>
      </c>
      <c r="G544" s="11">
        <f t="shared" ca="1" si="8"/>
        <v>22</v>
      </c>
      <c r="H544" s="12">
        <v>3</v>
      </c>
      <c r="I544" s="17">
        <v>101088</v>
      </c>
      <c r="J544" s="50">
        <v>37509</v>
      </c>
    </row>
    <row r="545" spans="1:10" x14ac:dyDescent="0.2">
      <c r="A545" s="1" t="s">
        <v>240</v>
      </c>
      <c r="B545" s="1" t="s">
        <v>52</v>
      </c>
      <c r="C545" s="9">
        <v>904790184</v>
      </c>
      <c r="D545" s="10">
        <v>6066965088</v>
      </c>
      <c r="E545" s="1" t="s">
        <v>22</v>
      </c>
      <c r="F545" s="24">
        <v>39769</v>
      </c>
      <c r="G545" s="11">
        <f t="shared" ca="1" si="8"/>
        <v>16</v>
      </c>
      <c r="H545" s="12">
        <v>3</v>
      </c>
      <c r="I545" s="17">
        <v>95628</v>
      </c>
      <c r="J545" s="50">
        <v>39769</v>
      </c>
    </row>
    <row r="546" spans="1:10" x14ac:dyDescent="0.2">
      <c r="A546" s="1" t="s">
        <v>267</v>
      </c>
      <c r="B546" s="1" t="s">
        <v>52</v>
      </c>
      <c r="C546" s="9">
        <v>308317457</v>
      </c>
      <c r="D546" s="10">
        <v>4054747044</v>
      </c>
      <c r="E546" s="1" t="s">
        <v>22</v>
      </c>
      <c r="F546" s="24">
        <v>40682</v>
      </c>
      <c r="G546" s="11">
        <f t="shared" ca="1" si="8"/>
        <v>13</v>
      </c>
      <c r="H546" s="12">
        <v>2</v>
      </c>
      <c r="I546" s="17">
        <v>93678</v>
      </c>
      <c r="J546" s="50">
        <v>40682</v>
      </c>
    </row>
    <row r="547" spans="1:10" x14ac:dyDescent="0.2">
      <c r="A547" s="1" t="s">
        <v>520</v>
      </c>
      <c r="B547" s="1" t="s">
        <v>52</v>
      </c>
      <c r="C547" s="9">
        <v>159415552</v>
      </c>
      <c r="D547" s="10">
        <v>5122153322</v>
      </c>
      <c r="E547" s="1" t="s">
        <v>22</v>
      </c>
      <c r="F547" s="24">
        <v>36763</v>
      </c>
      <c r="G547" s="11">
        <f t="shared" ca="1" si="8"/>
        <v>24</v>
      </c>
      <c r="H547" s="12">
        <v>3</v>
      </c>
      <c r="I547" s="17">
        <v>91364</v>
      </c>
      <c r="J547" s="50">
        <v>36763</v>
      </c>
    </row>
    <row r="548" spans="1:10" x14ac:dyDescent="0.2">
      <c r="A548" s="1" t="s">
        <v>132</v>
      </c>
      <c r="B548" s="1" t="s">
        <v>52</v>
      </c>
      <c r="C548" s="9">
        <v>332302868</v>
      </c>
      <c r="D548" s="10">
        <v>8125228252</v>
      </c>
      <c r="E548" s="1" t="s">
        <v>22</v>
      </c>
      <c r="F548" s="24">
        <v>37179</v>
      </c>
      <c r="G548" s="11">
        <f t="shared" ca="1" si="8"/>
        <v>23</v>
      </c>
      <c r="H548" s="12">
        <v>4</v>
      </c>
      <c r="I548" s="17">
        <v>89960</v>
      </c>
      <c r="J548" s="50">
        <v>37179</v>
      </c>
    </row>
    <row r="549" spans="1:10" x14ac:dyDescent="0.2">
      <c r="A549" s="1" t="s">
        <v>443</v>
      </c>
      <c r="B549" s="1" t="s">
        <v>52</v>
      </c>
      <c r="C549" s="9">
        <v>876082195</v>
      </c>
      <c r="D549" s="10">
        <v>8086530760</v>
      </c>
      <c r="E549" s="1" t="s">
        <v>22</v>
      </c>
      <c r="F549" s="24">
        <v>34578</v>
      </c>
      <c r="G549" s="11">
        <f t="shared" ca="1" si="8"/>
        <v>30</v>
      </c>
      <c r="H549" s="12">
        <v>4</v>
      </c>
      <c r="I549" s="17">
        <v>89011</v>
      </c>
      <c r="J549" s="50">
        <v>34578</v>
      </c>
    </row>
    <row r="550" spans="1:10" x14ac:dyDescent="0.2">
      <c r="A550" s="1" t="s">
        <v>620</v>
      </c>
      <c r="B550" s="1" t="s">
        <v>52</v>
      </c>
      <c r="C550" s="9">
        <v>596641549</v>
      </c>
      <c r="D550" s="10">
        <v>7062121334</v>
      </c>
      <c r="E550" s="1" t="s">
        <v>22</v>
      </c>
      <c r="F550" s="24">
        <v>34321</v>
      </c>
      <c r="G550" s="11">
        <f t="shared" ca="1" si="8"/>
        <v>31</v>
      </c>
      <c r="H550" s="12">
        <v>4</v>
      </c>
      <c r="I550" s="17">
        <v>88296</v>
      </c>
      <c r="J550" s="50">
        <v>34321</v>
      </c>
    </row>
    <row r="551" spans="1:10" x14ac:dyDescent="0.2">
      <c r="A551" s="1" t="s">
        <v>183</v>
      </c>
      <c r="B551" s="1" t="s">
        <v>52</v>
      </c>
      <c r="C551" s="9">
        <v>771110153</v>
      </c>
      <c r="D551" s="10">
        <v>2065089157</v>
      </c>
      <c r="E551" s="1" t="s">
        <v>22</v>
      </c>
      <c r="F551" s="24">
        <v>37227</v>
      </c>
      <c r="G551" s="11">
        <f t="shared" ca="1" si="8"/>
        <v>23</v>
      </c>
      <c r="H551" s="12">
        <v>1</v>
      </c>
      <c r="I551" s="17">
        <v>87126</v>
      </c>
      <c r="J551" s="50">
        <v>37227</v>
      </c>
    </row>
    <row r="552" spans="1:10" x14ac:dyDescent="0.2">
      <c r="A552" s="1" t="s">
        <v>662</v>
      </c>
      <c r="B552" s="1" t="s">
        <v>52</v>
      </c>
      <c r="C552" s="9">
        <v>482927373</v>
      </c>
      <c r="D552" s="10">
        <v>5188033253</v>
      </c>
      <c r="E552" s="1" t="s">
        <v>22</v>
      </c>
      <c r="F552" s="24">
        <v>34895</v>
      </c>
      <c r="G552" s="11">
        <f t="shared" ca="1" si="8"/>
        <v>29</v>
      </c>
      <c r="H552" s="12">
        <v>2</v>
      </c>
      <c r="I552" s="17">
        <v>86871</v>
      </c>
      <c r="J552" s="50">
        <v>34895</v>
      </c>
    </row>
    <row r="553" spans="1:10" x14ac:dyDescent="0.2">
      <c r="A553" s="1" t="s">
        <v>89</v>
      </c>
      <c r="B553" s="1" t="s">
        <v>52</v>
      </c>
      <c r="C553" s="9">
        <v>948195711</v>
      </c>
      <c r="D553" s="10">
        <v>6077904981</v>
      </c>
      <c r="E553" s="1" t="s">
        <v>22</v>
      </c>
      <c r="F553" s="24">
        <v>36240</v>
      </c>
      <c r="G553" s="11">
        <f t="shared" ca="1" si="8"/>
        <v>25</v>
      </c>
      <c r="H553" s="12">
        <v>3</v>
      </c>
      <c r="I553" s="17">
        <v>86372</v>
      </c>
      <c r="J553" s="50">
        <v>36240</v>
      </c>
    </row>
    <row r="554" spans="1:10" x14ac:dyDescent="0.2">
      <c r="A554" s="1" t="s">
        <v>414</v>
      </c>
      <c r="B554" s="1" t="s">
        <v>52</v>
      </c>
      <c r="C554" s="9">
        <v>978154935</v>
      </c>
      <c r="D554" s="10">
        <v>7078449868</v>
      </c>
      <c r="E554" s="1" t="s">
        <v>22</v>
      </c>
      <c r="F554" s="24">
        <v>34552</v>
      </c>
      <c r="G554" s="11">
        <f t="shared" ca="1" si="8"/>
        <v>30</v>
      </c>
      <c r="H554" s="12">
        <v>3</v>
      </c>
      <c r="I554" s="17">
        <v>85242</v>
      </c>
      <c r="J554" s="50">
        <v>34552</v>
      </c>
    </row>
    <row r="555" spans="1:10" x14ac:dyDescent="0.2">
      <c r="A555" s="1" t="s">
        <v>582</v>
      </c>
      <c r="B555" s="1" t="s">
        <v>52</v>
      </c>
      <c r="C555" s="9">
        <v>570756015</v>
      </c>
      <c r="D555" s="10">
        <v>9141682521</v>
      </c>
      <c r="E555" s="1" t="s">
        <v>17</v>
      </c>
      <c r="F555" s="24">
        <v>38894</v>
      </c>
      <c r="G555" s="11">
        <f t="shared" ca="1" si="8"/>
        <v>18</v>
      </c>
      <c r="H555" s="12">
        <v>1</v>
      </c>
      <c r="I555" s="17">
        <v>83967</v>
      </c>
      <c r="J555" s="50">
        <v>38894</v>
      </c>
    </row>
    <row r="556" spans="1:10" x14ac:dyDescent="0.2">
      <c r="A556" s="1" t="s">
        <v>305</v>
      </c>
      <c r="B556" s="1" t="s">
        <v>52</v>
      </c>
      <c r="C556" s="9">
        <v>699053064</v>
      </c>
      <c r="D556" s="10">
        <v>7114125294</v>
      </c>
      <c r="E556" s="1" t="s">
        <v>22</v>
      </c>
      <c r="F556" s="24">
        <v>34415</v>
      </c>
      <c r="G556" s="11">
        <f t="shared" ca="1" si="8"/>
        <v>30</v>
      </c>
      <c r="H556" s="12">
        <v>3</v>
      </c>
      <c r="I556" s="17">
        <v>81965</v>
      </c>
      <c r="J556" s="50">
        <v>34415</v>
      </c>
    </row>
    <row r="557" spans="1:10" x14ac:dyDescent="0.2">
      <c r="A557" s="1" t="s">
        <v>490</v>
      </c>
      <c r="B557" s="1" t="s">
        <v>52</v>
      </c>
      <c r="C557" s="9">
        <v>627678686</v>
      </c>
      <c r="D557" s="10">
        <v>9122602559</v>
      </c>
      <c r="E557" s="1" t="s">
        <v>22</v>
      </c>
      <c r="F557" s="24">
        <v>36223</v>
      </c>
      <c r="G557" s="11">
        <f t="shared" ca="1" si="8"/>
        <v>25</v>
      </c>
      <c r="H557" s="12">
        <v>1</v>
      </c>
      <c r="I557" s="17">
        <v>81939</v>
      </c>
      <c r="J557" s="50">
        <v>36223</v>
      </c>
    </row>
    <row r="558" spans="1:10" x14ac:dyDescent="0.2">
      <c r="A558" s="1" t="s">
        <v>69</v>
      </c>
      <c r="B558" s="1" t="s">
        <v>52</v>
      </c>
      <c r="C558" s="9">
        <v>444159297</v>
      </c>
      <c r="D558" s="10">
        <v>7127172882</v>
      </c>
      <c r="E558" s="1" t="s">
        <v>22</v>
      </c>
      <c r="F558" s="24">
        <v>36318</v>
      </c>
      <c r="G558" s="11">
        <f t="shared" ca="1" si="8"/>
        <v>25</v>
      </c>
      <c r="H558" s="12">
        <v>1</v>
      </c>
      <c r="I558" s="17">
        <v>81855</v>
      </c>
      <c r="J558" s="50">
        <v>36318</v>
      </c>
    </row>
    <row r="559" spans="1:10" x14ac:dyDescent="0.2">
      <c r="A559" s="1" t="s">
        <v>678</v>
      </c>
      <c r="B559" s="1" t="s">
        <v>52</v>
      </c>
      <c r="C559" s="9">
        <v>651995963</v>
      </c>
      <c r="D559" s="10">
        <v>2033199265</v>
      </c>
      <c r="E559" s="1" t="s">
        <v>17</v>
      </c>
      <c r="F559" s="24">
        <v>37273</v>
      </c>
      <c r="G559" s="11">
        <f t="shared" ca="1" si="8"/>
        <v>23</v>
      </c>
      <c r="H559" s="12">
        <v>4</v>
      </c>
      <c r="I559" s="17">
        <v>79040</v>
      </c>
      <c r="J559" s="50">
        <v>37273</v>
      </c>
    </row>
    <row r="560" spans="1:10" x14ac:dyDescent="0.2">
      <c r="A560" s="1" t="s">
        <v>51</v>
      </c>
      <c r="B560" s="1" t="s">
        <v>52</v>
      </c>
      <c r="C560" s="9">
        <v>719937584</v>
      </c>
      <c r="D560" s="10">
        <v>8064416232</v>
      </c>
      <c r="E560" s="1" t="s">
        <v>17</v>
      </c>
      <c r="F560" s="24">
        <v>36937</v>
      </c>
      <c r="G560" s="11">
        <f t="shared" ca="1" si="8"/>
        <v>23</v>
      </c>
      <c r="H560" s="12">
        <v>4</v>
      </c>
      <c r="I560" s="17">
        <v>76765</v>
      </c>
      <c r="J560" s="50">
        <v>36937</v>
      </c>
    </row>
    <row r="561" spans="1:10" x14ac:dyDescent="0.2">
      <c r="A561" s="1" t="s">
        <v>673</v>
      </c>
      <c r="B561" s="1" t="s">
        <v>52</v>
      </c>
      <c r="C561" s="9">
        <v>885773638</v>
      </c>
      <c r="D561" s="10">
        <v>3126705508</v>
      </c>
      <c r="E561" s="1" t="s">
        <v>17</v>
      </c>
      <c r="F561" s="24">
        <v>34781</v>
      </c>
      <c r="G561" s="11">
        <f t="shared" ca="1" si="8"/>
        <v>29</v>
      </c>
      <c r="H561" s="12">
        <v>2</v>
      </c>
      <c r="I561" s="17">
        <v>72397</v>
      </c>
      <c r="J561" s="50">
        <v>34781</v>
      </c>
    </row>
    <row r="562" spans="1:10" x14ac:dyDescent="0.2">
      <c r="A562" s="1" t="s">
        <v>360</v>
      </c>
      <c r="B562" s="1" t="s">
        <v>52</v>
      </c>
      <c r="C562" s="9">
        <v>907491320</v>
      </c>
      <c r="D562" s="10">
        <v>9146999991</v>
      </c>
      <c r="E562" s="1" t="s">
        <v>17</v>
      </c>
      <c r="F562" s="24">
        <v>37346</v>
      </c>
      <c r="G562" s="11">
        <f t="shared" ca="1" si="8"/>
        <v>22</v>
      </c>
      <c r="H562" s="12">
        <v>4</v>
      </c>
      <c r="I562" s="17">
        <v>71292</v>
      </c>
      <c r="J562" s="50">
        <v>37346</v>
      </c>
    </row>
    <row r="563" spans="1:10" x14ac:dyDescent="0.2">
      <c r="A563" s="1" t="s">
        <v>389</v>
      </c>
      <c r="B563" s="1" t="s">
        <v>52</v>
      </c>
      <c r="C563" s="9">
        <v>930282755</v>
      </c>
      <c r="D563" s="10">
        <v>6177446192</v>
      </c>
      <c r="E563" s="1" t="s">
        <v>22</v>
      </c>
      <c r="F563" s="24">
        <v>34471</v>
      </c>
      <c r="G563" s="11">
        <f t="shared" ca="1" si="8"/>
        <v>30</v>
      </c>
      <c r="H563" s="12">
        <v>1</v>
      </c>
      <c r="I563" s="17">
        <v>71279</v>
      </c>
      <c r="J563" s="50">
        <v>34471</v>
      </c>
    </row>
    <row r="564" spans="1:10" x14ac:dyDescent="0.2">
      <c r="A564" s="1" t="s">
        <v>228</v>
      </c>
      <c r="B564" s="1" t="s">
        <v>52</v>
      </c>
      <c r="C564" s="9">
        <v>787156286</v>
      </c>
      <c r="D564" s="10">
        <v>3025255121</v>
      </c>
      <c r="E564" s="1" t="s">
        <v>22</v>
      </c>
      <c r="F564" s="24">
        <v>34877</v>
      </c>
      <c r="G564" s="11">
        <f t="shared" ca="1" si="8"/>
        <v>29</v>
      </c>
      <c r="H564" s="12">
        <v>3</v>
      </c>
      <c r="I564" s="17">
        <v>70551</v>
      </c>
      <c r="J564" s="50">
        <v>34877</v>
      </c>
    </row>
    <row r="565" spans="1:10" x14ac:dyDescent="0.2">
      <c r="A565" s="1" t="s">
        <v>88</v>
      </c>
      <c r="B565" s="1" t="s">
        <v>52</v>
      </c>
      <c r="C565" s="9">
        <v>281005046</v>
      </c>
      <c r="D565" s="10">
        <v>3164160215</v>
      </c>
      <c r="E565" s="1" t="s">
        <v>22</v>
      </c>
      <c r="F565" s="24">
        <v>35027</v>
      </c>
      <c r="G565" s="11">
        <f t="shared" ca="1" si="8"/>
        <v>29</v>
      </c>
      <c r="H565" s="12">
        <v>4</v>
      </c>
      <c r="I565" s="17">
        <v>70460</v>
      </c>
      <c r="J565" s="50">
        <v>35027</v>
      </c>
    </row>
    <row r="566" spans="1:10" x14ac:dyDescent="0.2">
      <c r="A566" s="1" t="s">
        <v>399</v>
      </c>
      <c r="B566" s="1" t="s">
        <v>52</v>
      </c>
      <c r="C566" s="9">
        <v>891224981</v>
      </c>
      <c r="D566" s="10">
        <v>5126756847</v>
      </c>
      <c r="E566" s="1" t="s">
        <v>22</v>
      </c>
      <c r="F566" s="24">
        <v>34089</v>
      </c>
      <c r="G566" s="11">
        <f t="shared" ca="1" si="8"/>
        <v>31</v>
      </c>
      <c r="H566" s="12">
        <v>5</v>
      </c>
      <c r="I566" s="17">
        <v>70070</v>
      </c>
      <c r="J566" s="50">
        <v>34089</v>
      </c>
    </row>
    <row r="567" spans="1:10" x14ac:dyDescent="0.2">
      <c r="A567" s="1" t="s">
        <v>251</v>
      </c>
      <c r="B567" s="1" t="s">
        <v>52</v>
      </c>
      <c r="C567" s="9">
        <v>357081517</v>
      </c>
      <c r="D567" s="10">
        <v>2115796953</v>
      </c>
      <c r="E567" s="1" t="s">
        <v>17</v>
      </c>
      <c r="F567" s="24">
        <v>37081</v>
      </c>
      <c r="G567" s="11">
        <f t="shared" ca="1" si="8"/>
        <v>23</v>
      </c>
      <c r="H567" s="12">
        <v>5</v>
      </c>
      <c r="I567" s="17">
        <v>69303</v>
      </c>
      <c r="J567" s="50">
        <v>37081</v>
      </c>
    </row>
    <row r="568" spans="1:10" x14ac:dyDescent="0.2">
      <c r="A568" s="1" t="s">
        <v>604</v>
      </c>
      <c r="B568" s="1" t="s">
        <v>52</v>
      </c>
      <c r="C568" s="9">
        <v>476243591</v>
      </c>
      <c r="D568" s="10">
        <v>7177919826</v>
      </c>
      <c r="E568" s="1" t="s">
        <v>33</v>
      </c>
      <c r="F568" s="24">
        <v>38682</v>
      </c>
      <c r="G568" s="11">
        <f t="shared" ca="1" si="8"/>
        <v>19</v>
      </c>
      <c r="H568" s="12">
        <v>1</v>
      </c>
      <c r="I568" s="17">
        <v>63362</v>
      </c>
      <c r="J568" s="50">
        <v>38682</v>
      </c>
    </row>
    <row r="569" spans="1:10" x14ac:dyDescent="0.2">
      <c r="A569" s="1" t="s">
        <v>733</v>
      </c>
      <c r="B569" s="1" t="s">
        <v>52</v>
      </c>
      <c r="C569" s="9">
        <v>151277827</v>
      </c>
      <c r="D569" s="10">
        <v>7091973267</v>
      </c>
      <c r="E569" s="1" t="s">
        <v>22</v>
      </c>
      <c r="F569" s="24">
        <v>35152</v>
      </c>
      <c r="G569" s="11">
        <f t="shared" ca="1" si="8"/>
        <v>28</v>
      </c>
      <c r="H569" s="12">
        <v>2</v>
      </c>
      <c r="I569" s="17">
        <v>63037</v>
      </c>
      <c r="J569" s="50">
        <v>35152</v>
      </c>
    </row>
    <row r="570" spans="1:10" x14ac:dyDescent="0.2">
      <c r="A570" s="1" t="s">
        <v>364</v>
      </c>
      <c r="B570" s="1" t="s">
        <v>52</v>
      </c>
      <c r="C570" s="9">
        <v>722630791</v>
      </c>
      <c r="D570" s="10">
        <v>4054483888</v>
      </c>
      <c r="E570" s="1" t="s">
        <v>22</v>
      </c>
      <c r="F570" s="24">
        <v>37381</v>
      </c>
      <c r="G570" s="11">
        <f t="shared" ca="1" si="8"/>
        <v>22</v>
      </c>
      <c r="H570" s="12">
        <v>3</v>
      </c>
      <c r="I570" s="17">
        <v>62725</v>
      </c>
      <c r="J570" s="50">
        <v>37381</v>
      </c>
    </row>
    <row r="571" spans="1:10" x14ac:dyDescent="0.2">
      <c r="A571" s="1" t="s">
        <v>725</v>
      </c>
      <c r="B571" s="1" t="s">
        <v>52</v>
      </c>
      <c r="C571" s="9">
        <v>707882019</v>
      </c>
      <c r="D571" s="10">
        <v>4074194193</v>
      </c>
      <c r="E571" s="1" t="s">
        <v>33</v>
      </c>
      <c r="F571" s="24">
        <v>37290</v>
      </c>
      <c r="G571" s="11">
        <f t="shared" ca="1" si="8"/>
        <v>22</v>
      </c>
      <c r="H571" s="12">
        <v>1</v>
      </c>
      <c r="I571" s="17">
        <v>61555</v>
      </c>
      <c r="J571" s="50">
        <v>37290</v>
      </c>
    </row>
    <row r="572" spans="1:10" x14ac:dyDescent="0.2">
      <c r="A572" s="1" t="s">
        <v>527</v>
      </c>
      <c r="B572" s="1" t="s">
        <v>52</v>
      </c>
      <c r="C572" s="9">
        <v>884025623</v>
      </c>
      <c r="D572" s="10">
        <v>7136699611</v>
      </c>
      <c r="E572" s="1" t="s">
        <v>17</v>
      </c>
      <c r="F572" s="24">
        <v>37949</v>
      </c>
      <c r="G572" s="11">
        <f t="shared" ca="1" si="8"/>
        <v>21</v>
      </c>
      <c r="H572" s="12">
        <v>2</v>
      </c>
      <c r="I572" s="17">
        <v>60814</v>
      </c>
      <c r="J572" s="50">
        <v>37949</v>
      </c>
    </row>
    <row r="573" spans="1:10" x14ac:dyDescent="0.2">
      <c r="A573" s="1" t="s">
        <v>216</v>
      </c>
      <c r="B573" s="1" t="s">
        <v>52</v>
      </c>
      <c r="C573" s="9">
        <v>279097202</v>
      </c>
      <c r="D573" s="10">
        <v>9024125146</v>
      </c>
      <c r="E573" s="1" t="s">
        <v>17</v>
      </c>
      <c r="F573" s="24">
        <v>34288</v>
      </c>
      <c r="G573" s="11">
        <f t="shared" ca="1" si="8"/>
        <v>31</v>
      </c>
      <c r="H573" s="12">
        <v>2</v>
      </c>
      <c r="I573" s="17">
        <v>60645</v>
      </c>
      <c r="J573" s="50">
        <v>34288</v>
      </c>
    </row>
    <row r="574" spans="1:10" x14ac:dyDescent="0.2">
      <c r="A574" s="1" t="s">
        <v>585</v>
      </c>
      <c r="B574" s="1" t="s">
        <v>52</v>
      </c>
      <c r="C574" s="9">
        <v>351003584</v>
      </c>
      <c r="D574" s="10">
        <v>6165717431</v>
      </c>
      <c r="E574" s="1" t="s">
        <v>22</v>
      </c>
      <c r="F574" s="24">
        <v>37274</v>
      </c>
      <c r="G574" s="11">
        <f t="shared" ca="1" si="8"/>
        <v>23</v>
      </c>
      <c r="H574" s="12">
        <v>5</v>
      </c>
      <c r="I574" s="17">
        <v>59644</v>
      </c>
      <c r="J574" s="50">
        <v>37274</v>
      </c>
    </row>
    <row r="575" spans="1:10" x14ac:dyDescent="0.2">
      <c r="A575" s="1" t="s">
        <v>223</v>
      </c>
      <c r="B575" s="1" t="s">
        <v>52</v>
      </c>
      <c r="C575" s="9">
        <v>106099892</v>
      </c>
      <c r="D575" s="10">
        <v>6041240785</v>
      </c>
      <c r="E575" s="1" t="s">
        <v>22</v>
      </c>
      <c r="F575" s="24">
        <v>34888</v>
      </c>
      <c r="G575" s="11">
        <f t="shared" ca="1" si="8"/>
        <v>29</v>
      </c>
      <c r="H575" s="12">
        <v>2</v>
      </c>
      <c r="I575" s="17">
        <v>58643</v>
      </c>
      <c r="J575" s="50">
        <v>34888</v>
      </c>
    </row>
    <row r="576" spans="1:10" x14ac:dyDescent="0.2">
      <c r="A576" s="1" t="s">
        <v>59</v>
      </c>
      <c r="B576" s="1" t="s">
        <v>52</v>
      </c>
      <c r="C576" s="9">
        <v>164904130</v>
      </c>
      <c r="D576" s="10">
        <v>3122338778</v>
      </c>
      <c r="E576" s="1" t="s">
        <v>22</v>
      </c>
      <c r="F576" s="24">
        <v>40020</v>
      </c>
      <c r="G576" s="11">
        <f t="shared" ca="1" si="8"/>
        <v>15</v>
      </c>
      <c r="H576" s="12">
        <v>5</v>
      </c>
      <c r="I576" s="17">
        <v>56680</v>
      </c>
      <c r="J576" s="50">
        <v>40020</v>
      </c>
    </row>
    <row r="577" spans="1:10" x14ac:dyDescent="0.2">
      <c r="A577" s="1" t="s">
        <v>403</v>
      </c>
      <c r="B577" s="1" t="s">
        <v>52</v>
      </c>
      <c r="C577" s="9">
        <v>693965055</v>
      </c>
      <c r="D577" s="10">
        <v>3173957018</v>
      </c>
      <c r="E577" s="1" t="s">
        <v>17</v>
      </c>
      <c r="F577" s="24">
        <v>40587</v>
      </c>
      <c r="G577" s="11">
        <f t="shared" ca="1" si="8"/>
        <v>13</v>
      </c>
      <c r="H577" s="12">
        <v>5</v>
      </c>
      <c r="I577" s="17">
        <v>56316</v>
      </c>
      <c r="J577" s="50">
        <v>40587</v>
      </c>
    </row>
    <row r="578" spans="1:10" x14ac:dyDescent="0.2">
      <c r="A578" s="1" t="s">
        <v>501</v>
      </c>
      <c r="B578" s="1" t="s">
        <v>52</v>
      </c>
      <c r="C578" s="9">
        <v>571120098</v>
      </c>
      <c r="D578" s="10">
        <v>5061715499</v>
      </c>
      <c r="E578" s="1" t="s">
        <v>33</v>
      </c>
      <c r="F578" s="24">
        <v>36555</v>
      </c>
      <c r="G578" s="11">
        <f t="shared" ref="G578:G641" ca="1" si="9">DATEDIF(F578,TODAY(),"Y")</f>
        <v>24</v>
      </c>
      <c r="H578" s="12">
        <v>2</v>
      </c>
      <c r="I578" s="17">
        <v>55562</v>
      </c>
      <c r="J578" s="50">
        <v>36555</v>
      </c>
    </row>
    <row r="579" spans="1:10" x14ac:dyDescent="0.2">
      <c r="A579" s="1" t="s">
        <v>442</v>
      </c>
      <c r="B579" s="1" t="s">
        <v>52</v>
      </c>
      <c r="C579" s="9">
        <v>759471070</v>
      </c>
      <c r="D579" s="10">
        <v>3054919822</v>
      </c>
      <c r="E579" s="1" t="s">
        <v>33</v>
      </c>
      <c r="F579" s="24">
        <v>36709</v>
      </c>
      <c r="G579" s="11">
        <f t="shared" ca="1" si="9"/>
        <v>24</v>
      </c>
      <c r="H579" s="12">
        <v>5</v>
      </c>
      <c r="I579" s="17">
        <v>51389</v>
      </c>
      <c r="J579" s="50">
        <v>36709</v>
      </c>
    </row>
    <row r="580" spans="1:10" x14ac:dyDescent="0.2">
      <c r="A580" s="1" t="s">
        <v>66</v>
      </c>
      <c r="B580" s="1" t="s">
        <v>52</v>
      </c>
      <c r="C580" s="9">
        <v>960967007</v>
      </c>
      <c r="D580" s="10">
        <v>3128211050</v>
      </c>
      <c r="E580" s="1" t="s">
        <v>22</v>
      </c>
      <c r="F580" s="24">
        <v>37157</v>
      </c>
      <c r="G580" s="11">
        <f t="shared" ca="1" si="9"/>
        <v>23</v>
      </c>
      <c r="H580" s="12">
        <v>3</v>
      </c>
      <c r="I580" s="17">
        <v>50700</v>
      </c>
      <c r="J580" s="50">
        <v>37157</v>
      </c>
    </row>
    <row r="581" spans="1:10" x14ac:dyDescent="0.2">
      <c r="A581" s="1" t="s">
        <v>225</v>
      </c>
      <c r="B581" s="1" t="s">
        <v>52</v>
      </c>
      <c r="C581" s="9">
        <v>944793994</v>
      </c>
      <c r="D581" s="10">
        <v>5137819805</v>
      </c>
      <c r="E581" s="1" t="s">
        <v>22</v>
      </c>
      <c r="F581" s="24">
        <v>35621</v>
      </c>
      <c r="G581" s="11">
        <f t="shared" ca="1" si="9"/>
        <v>27</v>
      </c>
      <c r="H581" s="12">
        <v>5</v>
      </c>
      <c r="I581" s="17">
        <v>50700</v>
      </c>
      <c r="J581" s="50">
        <v>35621</v>
      </c>
    </row>
    <row r="582" spans="1:10" x14ac:dyDescent="0.2">
      <c r="A582" s="1" t="s">
        <v>454</v>
      </c>
      <c r="B582" s="1" t="s">
        <v>52</v>
      </c>
      <c r="C582" s="9">
        <v>964243524</v>
      </c>
      <c r="D582" s="10">
        <v>5168253211</v>
      </c>
      <c r="E582" s="1" t="s">
        <v>22</v>
      </c>
      <c r="F582" s="24">
        <v>36436</v>
      </c>
      <c r="G582" s="11">
        <f t="shared" ca="1" si="9"/>
        <v>25</v>
      </c>
      <c r="H582" s="12">
        <v>5</v>
      </c>
      <c r="I582" s="17">
        <v>49101</v>
      </c>
      <c r="J582" s="50">
        <v>36436</v>
      </c>
    </row>
    <row r="583" spans="1:10" x14ac:dyDescent="0.2">
      <c r="A583" s="1" t="s">
        <v>381</v>
      </c>
      <c r="B583" s="1" t="s">
        <v>52</v>
      </c>
      <c r="C583" s="9">
        <v>291798311</v>
      </c>
      <c r="D583" s="10">
        <v>2074383168</v>
      </c>
      <c r="E583" s="1" t="s">
        <v>81</v>
      </c>
      <c r="F583" s="24">
        <v>35212</v>
      </c>
      <c r="G583" s="11">
        <f t="shared" ca="1" si="9"/>
        <v>28</v>
      </c>
      <c r="H583" s="12">
        <v>4</v>
      </c>
      <c r="I583" s="17">
        <v>47824</v>
      </c>
      <c r="J583" s="50">
        <v>35212</v>
      </c>
    </row>
    <row r="584" spans="1:10" x14ac:dyDescent="0.2">
      <c r="A584" s="1" t="s">
        <v>713</v>
      </c>
      <c r="B584" s="1" t="s">
        <v>52</v>
      </c>
      <c r="C584" s="9">
        <v>352371400</v>
      </c>
      <c r="D584" s="10">
        <v>6085725646</v>
      </c>
      <c r="E584" s="1" t="s">
        <v>33</v>
      </c>
      <c r="F584" s="24">
        <v>37063</v>
      </c>
      <c r="G584" s="11">
        <f t="shared" ca="1" si="9"/>
        <v>23</v>
      </c>
      <c r="H584" s="12">
        <v>2</v>
      </c>
      <c r="I584" s="17">
        <v>45474</v>
      </c>
      <c r="J584" s="50">
        <v>37063</v>
      </c>
    </row>
    <row r="585" spans="1:10" x14ac:dyDescent="0.2">
      <c r="A585" s="1" t="s">
        <v>296</v>
      </c>
      <c r="B585" s="1" t="s">
        <v>52</v>
      </c>
      <c r="C585" s="9">
        <v>592631929</v>
      </c>
      <c r="D585" s="10">
        <v>8191963194</v>
      </c>
      <c r="E585" s="1" t="s">
        <v>22</v>
      </c>
      <c r="F585" s="24">
        <v>36275</v>
      </c>
      <c r="G585" s="11">
        <f t="shared" ca="1" si="9"/>
        <v>25</v>
      </c>
      <c r="H585" s="12">
        <v>3</v>
      </c>
      <c r="I585" s="17">
        <v>44629</v>
      </c>
      <c r="J585" s="50">
        <v>36275</v>
      </c>
    </row>
    <row r="586" spans="1:10" x14ac:dyDescent="0.2">
      <c r="A586" s="1" t="s">
        <v>546</v>
      </c>
      <c r="B586" s="1" t="s">
        <v>52</v>
      </c>
      <c r="C586" s="9">
        <v>850210766</v>
      </c>
      <c r="D586" s="10">
        <v>6096098293</v>
      </c>
      <c r="E586" s="1" t="s">
        <v>81</v>
      </c>
      <c r="F586" s="24">
        <v>36269</v>
      </c>
      <c r="G586" s="11">
        <f t="shared" ca="1" si="9"/>
        <v>25</v>
      </c>
      <c r="H586" s="12">
        <v>4</v>
      </c>
      <c r="I586" s="17">
        <v>43560</v>
      </c>
      <c r="J586" s="50">
        <v>36269</v>
      </c>
    </row>
    <row r="587" spans="1:10" x14ac:dyDescent="0.2">
      <c r="A587" s="1" t="s">
        <v>196</v>
      </c>
      <c r="B587" s="1" t="s">
        <v>52</v>
      </c>
      <c r="C587" s="9">
        <v>859204644</v>
      </c>
      <c r="D587" s="10">
        <v>2156224056</v>
      </c>
      <c r="E587" s="1" t="s">
        <v>22</v>
      </c>
      <c r="F587" s="24">
        <v>36582</v>
      </c>
      <c r="G587" s="11">
        <f t="shared" ca="1" si="9"/>
        <v>24</v>
      </c>
      <c r="H587" s="12">
        <v>1</v>
      </c>
      <c r="I587" s="17">
        <v>41756</v>
      </c>
      <c r="J587" s="50">
        <v>36582</v>
      </c>
    </row>
    <row r="588" spans="1:10" x14ac:dyDescent="0.2">
      <c r="A588" s="1" t="s">
        <v>637</v>
      </c>
      <c r="B588" s="1" t="s">
        <v>52</v>
      </c>
      <c r="C588" s="9">
        <v>592519945</v>
      </c>
      <c r="D588" s="10">
        <v>3091952821</v>
      </c>
      <c r="E588" s="1" t="s">
        <v>22</v>
      </c>
      <c r="F588" s="24">
        <v>39104</v>
      </c>
      <c r="G588" s="11">
        <f t="shared" ca="1" si="9"/>
        <v>18</v>
      </c>
      <c r="H588" s="12">
        <v>5</v>
      </c>
      <c r="I588" s="17">
        <v>41483</v>
      </c>
      <c r="J588" s="50">
        <v>39104</v>
      </c>
    </row>
    <row r="589" spans="1:10" x14ac:dyDescent="0.2">
      <c r="A589" s="1" t="s">
        <v>663</v>
      </c>
      <c r="B589" s="1" t="s">
        <v>52</v>
      </c>
      <c r="C589" s="9">
        <v>771953685</v>
      </c>
      <c r="D589" s="10">
        <v>9175157047</v>
      </c>
      <c r="E589" s="1" t="s">
        <v>81</v>
      </c>
      <c r="F589" s="24">
        <v>34123</v>
      </c>
      <c r="G589" s="11">
        <f t="shared" ca="1" si="9"/>
        <v>31</v>
      </c>
      <c r="H589" s="12">
        <v>2</v>
      </c>
      <c r="I589" s="17">
        <v>39608</v>
      </c>
      <c r="J589" s="50">
        <v>34123</v>
      </c>
    </row>
    <row r="590" spans="1:10" x14ac:dyDescent="0.2">
      <c r="A590" s="1" t="s">
        <v>739</v>
      </c>
      <c r="B590" s="1" t="s">
        <v>52</v>
      </c>
      <c r="C590" s="9">
        <v>575270646</v>
      </c>
      <c r="D590" s="10">
        <v>3011797370</v>
      </c>
      <c r="E590" s="1" t="s">
        <v>22</v>
      </c>
      <c r="F590" s="24">
        <v>40612</v>
      </c>
      <c r="G590" s="11">
        <f t="shared" ca="1" si="9"/>
        <v>13</v>
      </c>
      <c r="H590" s="12">
        <v>5</v>
      </c>
      <c r="I590" s="17">
        <v>38129</v>
      </c>
      <c r="J590" s="50">
        <v>40612</v>
      </c>
    </row>
    <row r="591" spans="1:10" x14ac:dyDescent="0.2">
      <c r="A591" s="1" t="s">
        <v>177</v>
      </c>
      <c r="B591" s="1" t="s">
        <v>52</v>
      </c>
      <c r="C591" s="9">
        <v>931105030</v>
      </c>
      <c r="D591" s="10">
        <v>7027508998</v>
      </c>
      <c r="E591" s="1" t="s">
        <v>22</v>
      </c>
      <c r="F591" s="24">
        <v>37393</v>
      </c>
      <c r="G591" s="11">
        <f t="shared" ca="1" si="9"/>
        <v>22</v>
      </c>
      <c r="H591" s="12">
        <v>4</v>
      </c>
      <c r="I591" s="17">
        <v>38038</v>
      </c>
      <c r="J591" s="50">
        <v>37393</v>
      </c>
    </row>
    <row r="592" spans="1:10" x14ac:dyDescent="0.2">
      <c r="A592" s="1" t="s">
        <v>171</v>
      </c>
      <c r="B592" s="1" t="s">
        <v>52</v>
      </c>
      <c r="C592" s="9">
        <v>212558012</v>
      </c>
      <c r="D592" s="10">
        <v>3182869792</v>
      </c>
      <c r="E592" s="1" t="s">
        <v>22</v>
      </c>
      <c r="F592" s="24">
        <v>38660</v>
      </c>
      <c r="G592" s="11">
        <f t="shared" ca="1" si="9"/>
        <v>19</v>
      </c>
      <c r="H592" s="12">
        <v>5</v>
      </c>
      <c r="I592" s="17">
        <v>37973</v>
      </c>
      <c r="J592" s="50">
        <v>38660</v>
      </c>
    </row>
    <row r="593" spans="1:10" x14ac:dyDescent="0.2">
      <c r="A593" s="1" t="s">
        <v>543</v>
      </c>
      <c r="B593" s="1" t="s">
        <v>52</v>
      </c>
      <c r="C593" s="9">
        <v>292693795</v>
      </c>
      <c r="D593" s="10">
        <v>6084562999</v>
      </c>
      <c r="E593" s="1" t="s">
        <v>33</v>
      </c>
      <c r="F593" s="24">
        <v>38642</v>
      </c>
      <c r="G593" s="11">
        <f t="shared" ca="1" si="9"/>
        <v>19</v>
      </c>
      <c r="H593" s="12">
        <v>4</v>
      </c>
      <c r="I593" s="17">
        <v>37083</v>
      </c>
      <c r="J593" s="50">
        <v>38642</v>
      </c>
    </row>
    <row r="594" spans="1:10" x14ac:dyDescent="0.2">
      <c r="A594" s="1" t="s">
        <v>294</v>
      </c>
      <c r="B594" s="1" t="s">
        <v>52</v>
      </c>
      <c r="C594" s="9">
        <v>427260216</v>
      </c>
      <c r="D594" s="10">
        <v>7126853122</v>
      </c>
      <c r="E594" s="1" t="s">
        <v>81</v>
      </c>
      <c r="F594" s="24">
        <v>35047</v>
      </c>
      <c r="G594" s="11">
        <f t="shared" ca="1" si="9"/>
        <v>29</v>
      </c>
      <c r="H594" s="12">
        <v>5</v>
      </c>
      <c r="I594" s="17">
        <v>34429</v>
      </c>
      <c r="J594" s="50">
        <v>35047</v>
      </c>
    </row>
    <row r="595" spans="1:10" x14ac:dyDescent="0.2">
      <c r="A595" s="1" t="s">
        <v>397</v>
      </c>
      <c r="B595" s="1" t="s">
        <v>52</v>
      </c>
      <c r="C595" s="9">
        <v>904497673</v>
      </c>
      <c r="D595" s="10">
        <v>2186865606</v>
      </c>
      <c r="E595" s="1" t="s">
        <v>33</v>
      </c>
      <c r="F595" s="24">
        <v>34757</v>
      </c>
      <c r="G595" s="11">
        <f t="shared" ca="1" si="9"/>
        <v>29</v>
      </c>
      <c r="H595" s="12">
        <v>5</v>
      </c>
      <c r="I595" s="17">
        <v>33651</v>
      </c>
      <c r="J595" s="50">
        <v>34757</v>
      </c>
    </row>
    <row r="596" spans="1:10" x14ac:dyDescent="0.2">
      <c r="A596" s="1" t="s">
        <v>394</v>
      </c>
      <c r="B596" s="1" t="s">
        <v>52</v>
      </c>
      <c r="C596" s="9">
        <v>302598687</v>
      </c>
      <c r="D596" s="10">
        <v>4084663056</v>
      </c>
      <c r="E596" s="1" t="s">
        <v>22</v>
      </c>
      <c r="F596" s="24">
        <v>34136</v>
      </c>
      <c r="G596" s="11">
        <f t="shared" ca="1" si="9"/>
        <v>31</v>
      </c>
      <c r="H596" s="12">
        <v>1</v>
      </c>
      <c r="I596" s="17">
        <v>32292</v>
      </c>
      <c r="J596" s="50">
        <v>34136</v>
      </c>
    </row>
    <row r="597" spans="1:10" x14ac:dyDescent="0.2">
      <c r="A597" s="1" t="s">
        <v>253</v>
      </c>
      <c r="B597" s="1" t="s">
        <v>52</v>
      </c>
      <c r="C597" s="9">
        <v>967826310</v>
      </c>
      <c r="D597" s="10">
        <v>7118314799</v>
      </c>
      <c r="E597" s="1" t="s">
        <v>81</v>
      </c>
      <c r="F597" s="24">
        <v>35901</v>
      </c>
      <c r="G597" s="11">
        <f t="shared" ca="1" si="9"/>
        <v>26</v>
      </c>
      <c r="H597" s="12">
        <v>4</v>
      </c>
      <c r="I597" s="17">
        <v>30800</v>
      </c>
      <c r="J597" s="50">
        <v>35901</v>
      </c>
    </row>
    <row r="598" spans="1:10" x14ac:dyDescent="0.2">
      <c r="A598" s="1" t="s">
        <v>270</v>
      </c>
      <c r="B598" s="1" t="s">
        <v>52</v>
      </c>
      <c r="C598" s="9">
        <v>775217609</v>
      </c>
      <c r="D598" s="10">
        <v>7085197037</v>
      </c>
      <c r="E598" s="1" t="s">
        <v>22</v>
      </c>
      <c r="F598" s="24">
        <v>40945</v>
      </c>
      <c r="G598" s="11">
        <f t="shared" ca="1" si="9"/>
        <v>12</v>
      </c>
      <c r="H598" s="12">
        <v>5</v>
      </c>
      <c r="I598" s="17">
        <v>30147</v>
      </c>
      <c r="J598" s="50">
        <v>40945</v>
      </c>
    </row>
    <row r="599" spans="1:10" x14ac:dyDescent="0.2">
      <c r="A599" s="1" t="s">
        <v>197</v>
      </c>
      <c r="B599" s="1" t="s">
        <v>52</v>
      </c>
      <c r="C599" s="9">
        <v>303641529</v>
      </c>
      <c r="D599" s="10">
        <v>8064697218</v>
      </c>
      <c r="E599" s="1" t="s">
        <v>17</v>
      </c>
      <c r="F599" s="24">
        <v>41217</v>
      </c>
      <c r="G599" s="11">
        <f t="shared" ca="1" si="9"/>
        <v>12</v>
      </c>
      <c r="H599" s="12">
        <v>3</v>
      </c>
      <c r="I599" s="17">
        <v>28054</v>
      </c>
      <c r="J599" s="50">
        <v>41217</v>
      </c>
    </row>
    <row r="600" spans="1:10" x14ac:dyDescent="0.2">
      <c r="A600" s="1" t="s">
        <v>169</v>
      </c>
      <c r="B600" s="1" t="s">
        <v>52</v>
      </c>
      <c r="C600" s="9">
        <v>207506781</v>
      </c>
      <c r="D600" s="10">
        <v>3042780847</v>
      </c>
      <c r="E600" s="1" t="s">
        <v>33</v>
      </c>
      <c r="F600" s="24">
        <v>37398</v>
      </c>
      <c r="G600" s="11">
        <f t="shared" ca="1" si="9"/>
        <v>22</v>
      </c>
      <c r="H600" s="12">
        <v>4</v>
      </c>
      <c r="I600" s="17">
        <v>27287</v>
      </c>
      <c r="J600" s="50">
        <v>37398</v>
      </c>
    </row>
    <row r="601" spans="1:10" x14ac:dyDescent="0.2">
      <c r="A601" s="1" t="s">
        <v>588</v>
      </c>
      <c r="B601" s="1" t="s">
        <v>52</v>
      </c>
      <c r="C601" s="9">
        <v>106686151</v>
      </c>
      <c r="D601" s="10">
        <v>5041246633</v>
      </c>
      <c r="E601" s="1" t="s">
        <v>81</v>
      </c>
      <c r="F601" s="24">
        <v>36736</v>
      </c>
      <c r="G601" s="11">
        <f t="shared" ca="1" si="9"/>
        <v>24</v>
      </c>
      <c r="H601" s="12">
        <v>5</v>
      </c>
      <c r="I601" s="17">
        <v>23286</v>
      </c>
      <c r="J601" s="50">
        <v>36736</v>
      </c>
    </row>
    <row r="602" spans="1:10" x14ac:dyDescent="0.2">
      <c r="A602" s="1" t="s">
        <v>378</v>
      </c>
      <c r="B602" s="1" t="s">
        <v>52</v>
      </c>
      <c r="C602" s="9">
        <v>868128171</v>
      </c>
      <c r="D602" s="10">
        <v>4136410575</v>
      </c>
      <c r="E602" s="1" t="s">
        <v>81</v>
      </c>
      <c r="F602" s="24">
        <v>37424</v>
      </c>
      <c r="G602" s="11">
        <f t="shared" ca="1" si="9"/>
        <v>22</v>
      </c>
      <c r="H602" s="12">
        <v>4</v>
      </c>
      <c r="I602" s="17">
        <v>20218</v>
      </c>
      <c r="J602" s="50">
        <v>37424</v>
      </c>
    </row>
    <row r="603" spans="1:10" x14ac:dyDescent="0.2">
      <c r="A603" s="1" t="s">
        <v>154</v>
      </c>
      <c r="B603" s="1" t="s">
        <v>52</v>
      </c>
      <c r="C603" s="9">
        <v>380653169</v>
      </c>
      <c r="D603" s="10">
        <v>9136168483</v>
      </c>
      <c r="E603" s="1" t="s">
        <v>81</v>
      </c>
      <c r="F603" s="24">
        <v>36728</v>
      </c>
      <c r="G603" s="11">
        <f t="shared" ca="1" si="9"/>
        <v>24</v>
      </c>
      <c r="H603" s="12">
        <v>5</v>
      </c>
      <c r="I603" s="17">
        <v>16687</v>
      </c>
      <c r="J603" s="50">
        <v>36728</v>
      </c>
    </row>
    <row r="604" spans="1:10" x14ac:dyDescent="0.2">
      <c r="A604" s="1" t="s">
        <v>602</v>
      </c>
      <c r="B604" s="1" t="s">
        <v>40</v>
      </c>
      <c r="C604" s="9">
        <v>337411408</v>
      </c>
      <c r="D604" s="10">
        <v>5095327906</v>
      </c>
      <c r="E604" s="1" t="s">
        <v>17</v>
      </c>
      <c r="F604" s="24">
        <v>36205</v>
      </c>
      <c r="G604" s="11">
        <f t="shared" ca="1" si="9"/>
        <v>25</v>
      </c>
      <c r="H604" s="12">
        <v>2</v>
      </c>
      <c r="I604" s="17">
        <v>114179</v>
      </c>
      <c r="J604" s="50">
        <v>36205</v>
      </c>
    </row>
    <row r="605" spans="1:10" x14ac:dyDescent="0.2">
      <c r="A605" s="1" t="s">
        <v>106</v>
      </c>
      <c r="B605" s="1" t="s">
        <v>40</v>
      </c>
      <c r="C605" s="9">
        <v>470935648</v>
      </c>
      <c r="D605" s="10">
        <v>5137722509</v>
      </c>
      <c r="E605" s="1" t="s">
        <v>22</v>
      </c>
      <c r="F605" s="24">
        <v>35153</v>
      </c>
      <c r="G605" s="11">
        <f t="shared" ca="1" si="9"/>
        <v>28</v>
      </c>
      <c r="H605" s="12">
        <v>1</v>
      </c>
      <c r="I605" s="17">
        <v>113386</v>
      </c>
      <c r="J605" s="50">
        <v>35153</v>
      </c>
    </row>
    <row r="606" spans="1:10" x14ac:dyDescent="0.2">
      <c r="A606" s="1" t="s">
        <v>117</v>
      </c>
      <c r="B606" s="1" t="s">
        <v>40</v>
      </c>
      <c r="C606" s="9">
        <v>251824309</v>
      </c>
      <c r="D606" s="10">
        <v>6163539786</v>
      </c>
      <c r="E606" s="1" t="s">
        <v>22</v>
      </c>
      <c r="F606" s="24">
        <v>41504</v>
      </c>
      <c r="G606" s="11">
        <f t="shared" ca="1" si="9"/>
        <v>11</v>
      </c>
      <c r="H606" s="12">
        <v>3</v>
      </c>
      <c r="I606" s="17">
        <v>112632</v>
      </c>
      <c r="J606" s="50">
        <v>41504</v>
      </c>
    </row>
    <row r="607" spans="1:10" x14ac:dyDescent="0.2">
      <c r="A607" s="1" t="s">
        <v>46</v>
      </c>
      <c r="B607" s="1" t="s">
        <v>40</v>
      </c>
      <c r="C607" s="9">
        <v>681596577</v>
      </c>
      <c r="D607" s="10">
        <v>2033695179</v>
      </c>
      <c r="E607" s="1" t="s">
        <v>22</v>
      </c>
      <c r="F607" s="24">
        <v>36643</v>
      </c>
      <c r="G607" s="11">
        <f t="shared" ca="1" si="9"/>
        <v>24</v>
      </c>
      <c r="H607" s="12">
        <v>4</v>
      </c>
      <c r="I607" s="17">
        <v>112216</v>
      </c>
      <c r="J607" s="50">
        <v>36643</v>
      </c>
    </row>
    <row r="608" spans="1:10" x14ac:dyDescent="0.2">
      <c r="A608" s="1" t="s">
        <v>529</v>
      </c>
      <c r="B608" s="1" t="s">
        <v>40</v>
      </c>
      <c r="C608" s="9">
        <v>661397587</v>
      </c>
      <c r="D608" s="10">
        <v>3023392642</v>
      </c>
      <c r="E608" s="1" t="s">
        <v>17</v>
      </c>
      <c r="F608" s="24">
        <v>40595</v>
      </c>
      <c r="G608" s="11">
        <f t="shared" ca="1" si="9"/>
        <v>13</v>
      </c>
      <c r="H608" s="12">
        <v>5</v>
      </c>
      <c r="I608" s="17">
        <v>111852</v>
      </c>
      <c r="J608" s="50">
        <v>40595</v>
      </c>
    </row>
    <row r="609" spans="1:10" x14ac:dyDescent="0.2">
      <c r="A609" s="1" t="s">
        <v>345</v>
      </c>
      <c r="B609" s="1" t="s">
        <v>40</v>
      </c>
      <c r="C609" s="9">
        <v>254201611</v>
      </c>
      <c r="D609" s="10">
        <v>3073613559</v>
      </c>
      <c r="E609" s="1" t="s">
        <v>22</v>
      </c>
      <c r="F609" s="24">
        <v>40595</v>
      </c>
      <c r="G609" s="11">
        <f t="shared" ca="1" si="9"/>
        <v>13</v>
      </c>
      <c r="H609" s="12">
        <v>5</v>
      </c>
      <c r="I609" s="17">
        <v>107081</v>
      </c>
      <c r="J609" s="50">
        <v>40595</v>
      </c>
    </row>
    <row r="610" spans="1:10" x14ac:dyDescent="0.2">
      <c r="A610" s="1" t="s">
        <v>213</v>
      </c>
      <c r="B610" s="1" t="s">
        <v>40</v>
      </c>
      <c r="C610" s="9">
        <v>914326052</v>
      </c>
      <c r="D610" s="10">
        <v>4087049910</v>
      </c>
      <c r="E610" s="1" t="s">
        <v>22</v>
      </c>
      <c r="F610" s="24">
        <v>39214</v>
      </c>
      <c r="G610" s="11">
        <f t="shared" ca="1" si="9"/>
        <v>17</v>
      </c>
      <c r="H610" s="12">
        <v>2</v>
      </c>
      <c r="I610" s="17">
        <v>105742</v>
      </c>
      <c r="J610" s="50">
        <v>39214</v>
      </c>
    </row>
    <row r="611" spans="1:10" x14ac:dyDescent="0.2">
      <c r="A611" s="1" t="s">
        <v>583</v>
      </c>
      <c r="B611" s="1" t="s">
        <v>40</v>
      </c>
      <c r="C611" s="9">
        <v>265993407</v>
      </c>
      <c r="D611" s="10">
        <v>8073909820</v>
      </c>
      <c r="E611" s="1" t="s">
        <v>17</v>
      </c>
      <c r="F611" s="24">
        <v>41102</v>
      </c>
      <c r="G611" s="11">
        <f t="shared" ca="1" si="9"/>
        <v>12</v>
      </c>
      <c r="H611" s="12">
        <v>3</v>
      </c>
      <c r="I611" s="17">
        <v>104948</v>
      </c>
      <c r="J611" s="50">
        <v>41102</v>
      </c>
    </row>
    <row r="612" spans="1:10" x14ac:dyDescent="0.2">
      <c r="A612" s="1" t="s">
        <v>128</v>
      </c>
      <c r="B612" s="1" t="s">
        <v>40</v>
      </c>
      <c r="C612" s="9">
        <v>219245495</v>
      </c>
      <c r="D612" s="10">
        <v>3012924678</v>
      </c>
      <c r="E612" s="1" t="s">
        <v>22</v>
      </c>
      <c r="F612" s="24">
        <v>40469</v>
      </c>
      <c r="G612" s="11">
        <f t="shared" ca="1" si="9"/>
        <v>14</v>
      </c>
      <c r="H612" s="12">
        <v>5</v>
      </c>
      <c r="I612" s="17">
        <v>103194</v>
      </c>
      <c r="J612" s="50">
        <v>40469</v>
      </c>
    </row>
    <row r="613" spans="1:10" x14ac:dyDescent="0.2">
      <c r="A613" s="1" t="s">
        <v>510</v>
      </c>
      <c r="B613" s="1" t="s">
        <v>40</v>
      </c>
      <c r="C613" s="9">
        <v>121688720</v>
      </c>
      <c r="D613" s="10">
        <v>5061588597</v>
      </c>
      <c r="E613" s="1" t="s">
        <v>22</v>
      </c>
      <c r="F613" s="24">
        <v>37876</v>
      </c>
      <c r="G613" s="11">
        <f t="shared" ca="1" si="9"/>
        <v>21</v>
      </c>
      <c r="H613" s="12">
        <v>2</v>
      </c>
      <c r="I613" s="17">
        <v>102323</v>
      </c>
      <c r="J613" s="50">
        <v>37876</v>
      </c>
    </row>
    <row r="614" spans="1:10" x14ac:dyDescent="0.2">
      <c r="A614" s="1" t="s">
        <v>93</v>
      </c>
      <c r="B614" s="1" t="s">
        <v>40</v>
      </c>
      <c r="C614" s="9">
        <v>195245117</v>
      </c>
      <c r="D614" s="10">
        <v>2142636516</v>
      </c>
      <c r="E614" s="1" t="s">
        <v>17</v>
      </c>
      <c r="F614" s="24">
        <v>35002</v>
      </c>
      <c r="G614" s="11">
        <f t="shared" ca="1" si="9"/>
        <v>29</v>
      </c>
      <c r="H614" s="12">
        <v>1</v>
      </c>
      <c r="I614" s="17">
        <v>102167</v>
      </c>
      <c r="J614" s="50">
        <v>35002</v>
      </c>
    </row>
    <row r="615" spans="1:10" x14ac:dyDescent="0.2">
      <c r="A615" s="1" t="s">
        <v>448</v>
      </c>
      <c r="B615" s="1" t="s">
        <v>40</v>
      </c>
      <c r="C615" s="9">
        <v>999789446</v>
      </c>
      <c r="D615" s="10">
        <v>4038999194</v>
      </c>
      <c r="E615" s="1" t="s">
        <v>22</v>
      </c>
      <c r="F615" s="24">
        <v>37110</v>
      </c>
      <c r="G615" s="11">
        <f t="shared" ca="1" si="9"/>
        <v>23</v>
      </c>
      <c r="H615" s="12">
        <v>3</v>
      </c>
      <c r="I615" s="17">
        <v>100984</v>
      </c>
      <c r="J615" s="50">
        <v>37110</v>
      </c>
    </row>
    <row r="616" spans="1:10" x14ac:dyDescent="0.2">
      <c r="A616" s="1" t="s">
        <v>651</v>
      </c>
      <c r="B616" s="1" t="s">
        <v>40</v>
      </c>
      <c r="C616" s="9">
        <v>396727504</v>
      </c>
      <c r="D616" s="10">
        <v>8156443692</v>
      </c>
      <c r="E616" s="1" t="s">
        <v>17</v>
      </c>
      <c r="F616" s="24">
        <v>37932</v>
      </c>
      <c r="G616" s="11">
        <f t="shared" ca="1" si="9"/>
        <v>21</v>
      </c>
      <c r="H616" s="12">
        <v>5</v>
      </c>
      <c r="I616" s="17">
        <v>100277</v>
      </c>
      <c r="J616" s="50">
        <v>37932</v>
      </c>
    </row>
    <row r="617" spans="1:10" x14ac:dyDescent="0.2">
      <c r="A617" s="1" t="s">
        <v>48</v>
      </c>
      <c r="B617" s="1" t="s">
        <v>40</v>
      </c>
      <c r="C617" s="9">
        <v>761337848</v>
      </c>
      <c r="D617" s="10">
        <v>9144944596</v>
      </c>
      <c r="E617" s="1" t="s">
        <v>17</v>
      </c>
      <c r="F617" s="24">
        <v>34993</v>
      </c>
      <c r="G617" s="11">
        <f t="shared" ca="1" si="9"/>
        <v>29</v>
      </c>
      <c r="H617" s="12">
        <v>3</v>
      </c>
      <c r="I617" s="17">
        <v>98215</v>
      </c>
      <c r="J617" s="50">
        <v>34993</v>
      </c>
    </row>
    <row r="618" spans="1:10" x14ac:dyDescent="0.2">
      <c r="A618" s="1" t="s">
        <v>415</v>
      </c>
      <c r="B618" s="1" t="s">
        <v>40</v>
      </c>
      <c r="C618" s="9">
        <v>991656720</v>
      </c>
      <c r="D618" s="10">
        <v>9128642893</v>
      </c>
      <c r="E618" s="1" t="s">
        <v>22</v>
      </c>
      <c r="F618" s="24">
        <v>35292</v>
      </c>
      <c r="G618" s="11">
        <f t="shared" ca="1" si="9"/>
        <v>28</v>
      </c>
      <c r="H618" s="12">
        <v>2</v>
      </c>
      <c r="I618" s="17">
        <v>96005</v>
      </c>
      <c r="J618" s="50">
        <v>35292</v>
      </c>
    </row>
    <row r="619" spans="1:10" x14ac:dyDescent="0.2">
      <c r="A619" s="1" t="s">
        <v>640</v>
      </c>
      <c r="B619" s="1" t="s">
        <v>40</v>
      </c>
      <c r="C619" s="9">
        <v>356110882</v>
      </c>
      <c r="D619" s="10">
        <v>9025789252</v>
      </c>
      <c r="E619" s="1" t="s">
        <v>22</v>
      </c>
      <c r="F619" s="24">
        <v>37486</v>
      </c>
      <c r="G619" s="11">
        <f t="shared" ca="1" si="9"/>
        <v>22</v>
      </c>
      <c r="H619" s="12">
        <v>4</v>
      </c>
      <c r="I619" s="17">
        <v>93561</v>
      </c>
      <c r="J619" s="50">
        <v>37486</v>
      </c>
    </row>
    <row r="620" spans="1:10" x14ac:dyDescent="0.2">
      <c r="A620" s="1" t="s">
        <v>351</v>
      </c>
      <c r="B620" s="1" t="s">
        <v>40</v>
      </c>
      <c r="C620" s="9">
        <v>283476654</v>
      </c>
      <c r="D620" s="10">
        <v>4044249228</v>
      </c>
      <c r="E620" s="1" t="s">
        <v>22</v>
      </c>
      <c r="F620" s="24">
        <v>41403</v>
      </c>
      <c r="G620" s="11">
        <f t="shared" ca="1" si="9"/>
        <v>11</v>
      </c>
      <c r="H620" s="12">
        <v>1</v>
      </c>
      <c r="I620" s="17">
        <v>91949</v>
      </c>
      <c r="J620" s="50">
        <v>41403</v>
      </c>
    </row>
    <row r="621" spans="1:10" x14ac:dyDescent="0.2">
      <c r="A621" s="1" t="s">
        <v>167</v>
      </c>
      <c r="B621" s="1" t="s">
        <v>40</v>
      </c>
      <c r="C621" s="9">
        <v>925049144</v>
      </c>
      <c r="D621" s="10">
        <v>7117362525</v>
      </c>
      <c r="E621" s="1" t="s">
        <v>17</v>
      </c>
      <c r="F621" s="24">
        <v>34687</v>
      </c>
      <c r="G621" s="11">
        <f t="shared" ca="1" si="9"/>
        <v>30</v>
      </c>
      <c r="H621" s="12">
        <v>3</v>
      </c>
      <c r="I621" s="17">
        <v>91390</v>
      </c>
      <c r="J621" s="50">
        <v>34687</v>
      </c>
    </row>
    <row r="622" spans="1:10" x14ac:dyDescent="0.2">
      <c r="A622" s="1" t="s">
        <v>469</v>
      </c>
      <c r="B622" s="1" t="s">
        <v>40</v>
      </c>
      <c r="C622" s="9">
        <v>889210902</v>
      </c>
      <c r="D622" s="10">
        <v>2086753698</v>
      </c>
      <c r="E622" s="1" t="s">
        <v>17</v>
      </c>
      <c r="F622" s="24">
        <v>34841</v>
      </c>
      <c r="G622" s="11">
        <f t="shared" ca="1" si="9"/>
        <v>29</v>
      </c>
      <c r="H622" s="12">
        <v>2</v>
      </c>
      <c r="I622" s="17">
        <v>91195</v>
      </c>
      <c r="J622" s="50">
        <v>34841</v>
      </c>
    </row>
    <row r="623" spans="1:10" x14ac:dyDescent="0.2">
      <c r="A623" s="1" t="s">
        <v>557</v>
      </c>
      <c r="B623" s="1" t="s">
        <v>40</v>
      </c>
      <c r="C623" s="9">
        <v>291715078</v>
      </c>
      <c r="D623" s="10">
        <v>9024373324</v>
      </c>
      <c r="E623" s="1" t="s">
        <v>22</v>
      </c>
      <c r="F623" s="24">
        <v>35537</v>
      </c>
      <c r="G623" s="11">
        <f t="shared" ca="1" si="9"/>
        <v>27</v>
      </c>
      <c r="H623" s="12">
        <v>5</v>
      </c>
      <c r="I623" s="17">
        <v>90363</v>
      </c>
      <c r="J623" s="50">
        <v>35537</v>
      </c>
    </row>
    <row r="624" spans="1:10" x14ac:dyDescent="0.2">
      <c r="A624" s="1" t="s">
        <v>249</v>
      </c>
      <c r="B624" s="1" t="s">
        <v>40</v>
      </c>
      <c r="C624" s="9">
        <v>449987941</v>
      </c>
      <c r="D624" s="10">
        <v>8057230063</v>
      </c>
      <c r="E624" s="1" t="s">
        <v>22</v>
      </c>
      <c r="F624" s="24">
        <v>40308</v>
      </c>
      <c r="G624" s="11">
        <f t="shared" ca="1" si="9"/>
        <v>14</v>
      </c>
      <c r="H624" s="12">
        <v>2</v>
      </c>
      <c r="I624" s="17">
        <v>89518</v>
      </c>
      <c r="J624" s="50">
        <v>40308</v>
      </c>
    </row>
    <row r="625" spans="1:10" x14ac:dyDescent="0.2">
      <c r="A625" s="1" t="s">
        <v>438</v>
      </c>
      <c r="B625" s="1" t="s">
        <v>40</v>
      </c>
      <c r="C625" s="9">
        <v>741258203</v>
      </c>
      <c r="D625" s="10">
        <v>2054694995</v>
      </c>
      <c r="E625" s="1" t="s">
        <v>22</v>
      </c>
      <c r="F625" s="24">
        <v>37539</v>
      </c>
      <c r="G625" s="11">
        <f t="shared" ca="1" si="9"/>
        <v>22</v>
      </c>
      <c r="H625" s="12">
        <v>5</v>
      </c>
      <c r="I625" s="17">
        <v>84916</v>
      </c>
      <c r="J625" s="50">
        <v>37539</v>
      </c>
    </row>
    <row r="626" spans="1:10" x14ac:dyDescent="0.2">
      <c r="A626" s="1" t="s">
        <v>349</v>
      </c>
      <c r="B626" s="1" t="s">
        <v>40</v>
      </c>
      <c r="C626" s="9">
        <v>100432924</v>
      </c>
      <c r="D626" s="10">
        <v>7111156902</v>
      </c>
      <c r="E626" s="1" t="s">
        <v>22</v>
      </c>
      <c r="F626" s="24">
        <v>35919</v>
      </c>
      <c r="G626" s="11">
        <f t="shared" ca="1" si="9"/>
        <v>26</v>
      </c>
      <c r="H626" s="12">
        <v>5</v>
      </c>
      <c r="I626" s="17">
        <v>84214</v>
      </c>
      <c r="J626" s="50">
        <v>35919</v>
      </c>
    </row>
    <row r="627" spans="1:10" x14ac:dyDescent="0.2">
      <c r="A627" s="1" t="s">
        <v>487</v>
      </c>
      <c r="B627" s="1" t="s">
        <v>40</v>
      </c>
      <c r="C627" s="9">
        <v>667812117</v>
      </c>
      <c r="D627" s="10">
        <v>9163552027</v>
      </c>
      <c r="E627" s="1" t="s">
        <v>22</v>
      </c>
      <c r="F627" s="24">
        <v>36892</v>
      </c>
      <c r="G627" s="11">
        <f t="shared" ca="1" si="9"/>
        <v>24</v>
      </c>
      <c r="H627" s="12">
        <v>5</v>
      </c>
      <c r="I627" s="17">
        <v>83811</v>
      </c>
      <c r="J627" s="50">
        <v>36892</v>
      </c>
    </row>
    <row r="628" spans="1:10" x14ac:dyDescent="0.2">
      <c r="A628" s="1" t="s">
        <v>108</v>
      </c>
      <c r="B628" s="1" t="s">
        <v>40</v>
      </c>
      <c r="C628" s="9">
        <v>426014550</v>
      </c>
      <c r="D628" s="10">
        <v>3186757210</v>
      </c>
      <c r="E628" s="1" t="s">
        <v>17</v>
      </c>
      <c r="F628" s="24">
        <v>35590</v>
      </c>
      <c r="G628" s="11">
        <f t="shared" ca="1" si="9"/>
        <v>27</v>
      </c>
      <c r="H628" s="12">
        <v>3</v>
      </c>
      <c r="I628" s="17">
        <v>83542</v>
      </c>
      <c r="J628" s="50">
        <v>35590</v>
      </c>
    </row>
    <row r="629" spans="1:10" x14ac:dyDescent="0.2">
      <c r="A629" s="1" t="s">
        <v>268</v>
      </c>
      <c r="B629" s="1" t="s">
        <v>40</v>
      </c>
      <c r="C629" s="9">
        <v>264960848</v>
      </c>
      <c r="D629" s="10">
        <v>2023883919</v>
      </c>
      <c r="E629" s="1" t="s">
        <v>17</v>
      </c>
      <c r="F629" s="24">
        <v>34060</v>
      </c>
      <c r="G629" s="11">
        <f t="shared" ca="1" si="9"/>
        <v>31</v>
      </c>
      <c r="H629" s="12">
        <v>5</v>
      </c>
      <c r="I629" s="17">
        <v>82693</v>
      </c>
      <c r="J629" s="50">
        <v>34060</v>
      </c>
    </row>
    <row r="630" spans="1:10" x14ac:dyDescent="0.2">
      <c r="A630" s="1" t="s">
        <v>462</v>
      </c>
      <c r="B630" s="1" t="s">
        <v>40</v>
      </c>
      <c r="C630" s="9">
        <v>917195248</v>
      </c>
      <c r="D630" s="10">
        <v>8167146686</v>
      </c>
      <c r="E630" s="1" t="s">
        <v>17</v>
      </c>
      <c r="F630" s="24">
        <v>34844</v>
      </c>
      <c r="G630" s="11">
        <f t="shared" ca="1" si="9"/>
        <v>29</v>
      </c>
      <c r="H630" s="12">
        <v>5</v>
      </c>
      <c r="I630" s="17">
        <v>82277</v>
      </c>
      <c r="J630" s="50">
        <v>34844</v>
      </c>
    </row>
    <row r="631" spans="1:10" x14ac:dyDescent="0.2">
      <c r="A631" s="1" t="s">
        <v>130</v>
      </c>
      <c r="B631" s="1" t="s">
        <v>40</v>
      </c>
      <c r="C631" s="9">
        <v>167646549</v>
      </c>
      <c r="D631" s="10">
        <v>6082381391</v>
      </c>
      <c r="E631" s="1" t="s">
        <v>22</v>
      </c>
      <c r="F631" s="24">
        <v>37834</v>
      </c>
      <c r="G631" s="11">
        <f t="shared" ca="1" si="9"/>
        <v>21</v>
      </c>
      <c r="H631" s="12">
        <v>4</v>
      </c>
      <c r="I631" s="17">
        <v>81978</v>
      </c>
      <c r="J631" s="50">
        <v>37834</v>
      </c>
    </row>
    <row r="632" spans="1:10" x14ac:dyDescent="0.2">
      <c r="A632" s="1" t="s">
        <v>328</v>
      </c>
      <c r="B632" s="1" t="s">
        <v>40</v>
      </c>
      <c r="C632" s="9">
        <v>354619285</v>
      </c>
      <c r="D632" s="10">
        <v>2125780571</v>
      </c>
      <c r="E632" s="1" t="s">
        <v>22</v>
      </c>
      <c r="F632" s="24">
        <v>34673</v>
      </c>
      <c r="G632" s="11">
        <f t="shared" ca="1" si="9"/>
        <v>30</v>
      </c>
      <c r="H632" s="12">
        <v>3</v>
      </c>
      <c r="I632" s="17">
        <v>81614</v>
      </c>
      <c r="J632" s="50">
        <v>34673</v>
      </c>
    </row>
    <row r="633" spans="1:10" x14ac:dyDescent="0.2">
      <c r="A633" s="1" t="s">
        <v>484</v>
      </c>
      <c r="B633" s="1" t="s">
        <v>40</v>
      </c>
      <c r="C633" s="9">
        <v>324622113</v>
      </c>
      <c r="D633" s="10">
        <v>2125085320</v>
      </c>
      <c r="E633" s="1" t="s">
        <v>22</v>
      </c>
      <c r="F633" s="24">
        <v>37197</v>
      </c>
      <c r="G633" s="11">
        <f t="shared" ca="1" si="9"/>
        <v>23</v>
      </c>
      <c r="H633" s="12">
        <v>2</v>
      </c>
      <c r="I633" s="17">
        <v>80405</v>
      </c>
      <c r="J633" s="50">
        <v>37197</v>
      </c>
    </row>
    <row r="634" spans="1:10" x14ac:dyDescent="0.2">
      <c r="A634" s="1" t="s">
        <v>450</v>
      </c>
      <c r="B634" s="1" t="s">
        <v>40</v>
      </c>
      <c r="C634" s="9">
        <v>186821354</v>
      </c>
      <c r="D634" s="10">
        <v>9062612740</v>
      </c>
      <c r="E634" s="1" t="s">
        <v>22</v>
      </c>
      <c r="F634" s="24">
        <v>38362</v>
      </c>
      <c r="G634" s="11">
        <f t="shared" ca="1" si="9"/>
        <v>20</v>
      </c>
      <c r="H634" s="12">
        <v>2</v>
      </c>
      <c r="I634" s="17">
        <v>78390</v>
      </c>
      <c r="J634" s="50">
        <v>38362</v>
      </c>
    </row>
    <row r="635" spans="1:10" x14ac:dyDescent="0.2">
      <c r="A635" s="1" t="s">
        <v>439</v>
      </c>
      <c r="B635" s="1" t="s">
        <v>40</v>
      </c>
      <c r="C635" s="9">
        <v>475671127</v>
      </c>
      <c r="D635" s="10">
        <v>3137909707</v>
      </c>
      <c r="E635" s="1" t="s">
        <v>22</v>
      </c>
      <c r="F635" s="24">
        <v>34824</v>
      </c>
      <c r="G635" s="11">
        <f t="shared" ca="1" si="9"/>
        <v>29</v>
      </c>
      <c r="H635" s="12">
        <v>3</v>
      </c>
      <c r="I635" s="17">
        <v>77337</v>
      </c>
      <c r="J635" s="50">
        <v>34824</v>
      </c>
    </row>
    <row r="636" spans="1:10" x14ac:dyDescent="0.2">
      <c r="A636" s="1" t="s">
        <v>363</v>
      </c>
      <c r="B636" s="1" t="s">
        <v>40</v>
      </c>
      <c r="C636" s="9">
        <v>135633006</v>
      </c>
      <c r="D636" s="10">
        <v>2121667727</v>
      </c>
      <c r="E636" s="1" t="s">
        <v>17</v>
      </c>
      <c r="F636" s="24">
        <v>34656</v>
      </c>
      <c r="G636" s="11">
        <f t="shared" ca="1" si="9"/>
        <v>30</v>
      </c>
      <c r="H636" s="12">
        <v>4</v>
      </c>
      <c r="I636" s="17">
        <v>76866</v>
      </c>
      <c r="J636" s="50">
        <v>34656</v>
      </c>
    </row>
    <row r="637" spans="1:10" x14ac:dyDescent="0.2">
      <c r="A637" s="1" t="s">
        <v>384</v>
      </c>
      <c r="B637" s="1" t="s">
        <v>40</v>
      </c>
      <c r="C637" s="9">
        <v>938508346</v>
      </c>
      <c r="D637" s="10">
        <v>7017764351</v>
      </c>
      <c r="E637" s="1" t="s">
        <v>22</v>
      </c>
      <c r="F637" s="24">
        <v>36143</v>
      </c>
      <c r="G637" s="11">
        <f t="shared" ca="1" si="9"/>
        <v>26</v>
      </c>
      <c r="H637" s="12">
        <v>5</v>
      </c>
      <c r="I637" s="17">
        <v>75881</v>
      </c>
      <c r="J637" s="50">
        <v>36143</v>
      </c>
    </row>
    <row r="638" spans="1:10" x14ac:dyDescent="0.2">
      <c r="A638" s="1" t="s">
        <v>291</v>
      </c>
      <c r="B638" s="1" t="s">
        <v>40</v>
      </c>
      <c r="C638" s="9">
        <v>412159105</v>
      </c>
      <c r="D638" s="10">
        <v>9136563683</v>
      </c>
      <c r="E638" s="1" t="s">
        <v>17</v>
      </c>
      <c r="F638" s="24">
        <v>37060</v>
      </c>
      <c r="G638" s="11">
        <f t="shared" ca="1" si="9"/>
        <v>23</v>
      </c>
      <c r="H638" s="12">
        <v>2</v>
      </c>
      <c r="I638" s="17">
        <v>75725</v>
      </c>
      <c r="J638" s="50">
        <v>37060</v>
      </c>
    </row>
    <row r="639" spans="1:10" x14ac:dyDescent="0.2">
      <c r="A639" s="1" t="s">
        <v>480</v>
      </c>
      <c r="B639" s="1" t="s">
        <v>40</v>
      </c>
      <c r="C639" s="9">
        <v>384454025</v>
      </c>
      <c r="D639" s="10">
        <v>7136196095</v>
      </c>
      <c r="E639" s="1" t="s">
        <v>17</v>
      </c>
      <c r="F639" s="24">
        <v>34429</v>
      </c>
      <c r="G639" s="11">
        <f t="shared" ca="1" si="9"/>
        <v>30</v>
      </c>
      <c r="H639" s="12">
        <v>1</v>
      </c>
      <c r="I639" s="17">
        <v>74750</v>
      </c>
      <c r="J639" s="50">
        <v>34429</v>
      </c>
    </row>
    <row r="640" spans="1:10" x14ac:dyDescent="0.2">
      <c r="A640" s="1" t="s">
        <v>685</v>
      </c>
      <c r="B640" s="1" t="s">
        <v>40</v>
      </c>
      <c r="C640" s="9">
        <v>370608224</v>
      </c>
      <c r="D640" s="10">
        <v>7016040465</v>
      </c>
      <c r="E640" s="1" t="s">
        <v>17</v>
      </c>
      <c r="F640" s="24">
        <v>41430</v>
      </c>
      <c r="G640" s="11">
        <f t="shared" ca="1" si="9"/>
        <v>11</v>
      </c>
      <c r="H640" s="12">
        <v>3</v>
      </c>
      <c r="I640" s="17">
        <v>72163</v>
      </c>
      <c r="J640" s="50">
        <v>41430</v>
      </c>
    </row>
    <row r="641" spans="1:10" x14ac:dyDescent="0.2">
      <c r="A641" s="1" t="s">
        <v>184</v>
      </c>
      <c r="B641" s="1" t="s">
        <v>40</v>
      </c>
      <c r="C641" s="9">
        <v>330879921</v>
      </c>
      <c r="D641" s="10">
        <v>7015185281</v>
      </c>
      <c r="E641" s="1" t="s">
        <v>22</v>
      </c>
      <c r="F641" s="24">
        <v>37823</v>
      </c>
      <c r="G641" s="11">
        <f t="shared" ca="1" si="9"/>
        <v>21</v>
      </c>
      <c r="H641" s="12">
        <v>1</v>
      </c>
      <c r="I641" s="17">
        <v>64909</v>
      </c>
      <c r="J641" s="50">
        <v>37823</v>
      </c>
    </row>
    <row r="642" spans="1:10" x14ac:dyDescent="0.2">
      <c r="A642" s="1" t="s">
        <v>672</v>
      </c>
      <c r="B642" s="1" t="s">
        <v>40</v>
      </c>
      <c r="C642" s="9">
        <v>638271383</v>
      </c>
      <c r="D642" s="10">
        <v>9182727944</v>
      </c>
      <c r="E642" s="1" t="s">
        <v>17</v>
      </c>
      <c r="F642" s="24">
        <v>38320</v>
      </c>
      <c r="G642" s="11">
        <f t="shared" ref="G642:G699" ca="1" si="10">DATEDIF(F642,TODAY(),"Y")</f>
        <v>20</v>
      </c>
      <c r="H642" s="12">
        <v>4</v>
      </c>
      <c r="I642" s="17">
        <v>63817</v>
      </c>
      <c r="J642" s="50">
        <v>38320</v>
      </c>
    </row>
    <row r="643" spans="1:10" x14ac:dyDescent="0.2">
      <c r="A643" s="1" t="s">
        <v>488</v>
      </c>
      <c r="B643" s="1" t="s">
        <v>40</v>
      </c>
      <c r="C643" s="9">
        <v>422957475</v>
      </c>
      <c r="D643" s="10">
        <v>7136718651</v>
      </c>
      <c r="E643" s="1" t="s">
        <v>33</v>
      </c>
      <c r="F643" s="24">
        <v>40402</v>
      </c>
      <c r="G643" s="11">
        <f t="shared" ca="1" si="10"/>
        <v>14</v>
      </c>
      <c r="H643" s="12">
        <v>5</v>
      </c>
      <c r="I643" s="17">
        <v>63804</v>
      </c>
      <c r="J643" s="50">
        <v>40402</v>
      </c>
    </row>
    <row r="644" spans="1:10" x14ac:dyDescent="0.2">
      <c r="A644" s="1" t="s">
        <v>679</v>
      </c>
      <c r="B644" s="1" t="s">
        <v>40</v>
      </c>
      <c r="C644" s="9">
        <v>682907379</v>
      </c>
      <c r="D644" s="10">
        <v>5093717553</v>
      </c>
      <c r="E644" s="1" t="s">
        <v>22</v>
      </c>
      <c r="F644" s="24">
        <v>36947</v>
      </c>
      <c r="G644" s="11">
        <f t="shared" ca="1" si="10"/>
        <v>23</v>
      </c>
      <c r="H644" s="12">
        <v>5</v>
      </c>
      <c r="I644" s="17">
        <v>62933</v>
      </c>
      <c r="J644" s="50">
        <v>36947</v>
      </c>
    </row>
    <row r="645" spans="1:10" x14ac:dyDescent="0.2">
      <c r="A645" s="1" t="s">
        <v>698</v>
      </c>
      <c r="B645" s="1" t="s">
        <v>40</v>
      </c>
      <c r="C645" s="9">
        <v>496260023</v>
      </c>
      <c r="D645" s="10">
        <v>8018385730</v>
      </c>
      <c r="E645" s="1" t="s">
        <v>22</v>
      </c>
      <c r="F645" s="24">
        <v>39195</v>
      </c>
      <c r="G645" s="11">
        <f t="shared" ca="1" si="10"/>
        <v>17</v>
      </c>
      <c r="H645" s="12">
        <v>4</v>
      </c>
      <c r="I645" s="17">
        <v>62764</v>
      </c>
      <c r="J645" s="50">
        <v>39195</v>
      </c>
    </row>
    <row r="646" spans="1:10" x14ac:dyDescent="0.2">
      <c r="A646" s="1" t="s">
        <v>39</v>
      </c>
      <c r="B646" s="1" t="s">
        <v>40</v>
      </c>
      <c r="C646" s="9">
        <v>559376297</v>
      </c>
      <c r="D646" s="10">
        <v>7161517218</v>
      </c>
      <c r="E646" s="1" t="s">
        <v>22</v>
      </c>
      <c r="F646" s="24">
        <v>38677</v>
      </c>
      <c r="G646" s="11">
        <f t="shared" ca="1" si="10"/>
        <v>19</v>
      </c>
      <c r="H646" s="12">
        <v>3</v>
      </c>
      <c r="I646" s="17">
        <v>62413</v>
      </c>
      <c r="J646" s="50">
        <v>38677</v>
      </c>
    </row>
    <row r="647" spans="1:10" x14ac:dyDescent="0.2">
      <c r="A647" s="1" t="s">
        <v>206</v>
      </c>
      <c r="B647" s="1" t="s">
        <v>40</v>
      </c>
      <c r="C647" s="9">
        <v>698472533</v>
      </c>
      <c r="D647" s="10">
        <v>2174075460</v>
      </c>
      <c r="E647" s="1" t="s">
        <v>22</v>
      </c>
      <c r="F647" s="24">
        <v>37710</v>
      </c>
      <c r="G647" s="11">
        <f t="shared" ca="1" si="10"/>
        <v>21</v>
      </c>
      <c r="H647" s="12">
        <v>3</v>
      </c>
      <c r="I647" s="17">
        <v>61919</v>
      </c>
      <c r="J647" s="50">
        <v>37710</v>
      </c>
    </row>
    <row r="648" spans="1:10" x14ac:dyDescent="0.2">
      <c r="A648" s="1" t="s">
        <v>574</v>
      </c>
      <c r="B648" s="1" t="s">
        <v>40</v>
      </c>
      <c r="C648" s="9">
        <v>358017400</v>
      </c>
      <c r="D648" s="10">
        <v>2155829090</v>
      </c>
      <c r="E648" s="1" t="s">
        <v>17</v>
      </c>
      <c r="F648" s="24">
        <v>41201</v>
      </c>
      <c r="G648" s="11">
        <f t="shared" ca="1" si="10"/>
        <v>12</v>
      </c>
      <c r="H648" s="12">
        <v>1</v>
      </c>
      <c r="I648" s="17">
        <v>61464</v>
      </c>
      <c r="J648" s="50">
        <v>41201</v>
      </c>
    </row>
    <row r="649" spans="1:10" x14ac:dyDescent="0.2">
      <c r="A649" s="1" t="s">
        <v>140</v>
      </c>
      <c r="B649" s="1" t="s">
        <v>40</v>
      </c>
      <c r="C649" s="9">
        <v>546159785</v>
      </c>
      <c r="D649" s="10">
        <v>9021267946</v>
      </c>
      <c r="E649" s="1" t="s">
        <v>17</v>
      </c>
      <c r="F649" s="24">
        <v>41390</v>
      </c>
      <c r="G649" s="11">
        <f t="shared" ca="1" si="10"/>
        <v>11</v>
      </c>
      <c r="H649" s="12">
        <v>4</v>
      </c>
      <c r="I649" s="17">
        <v>60541</v>
      </c>
      <c r="J649" s="50">
        <v>41390</v>
      </c>
    </row>
    <row r="650" spans="1:10" x14ac:dyDescent="0.2">
      <c r="A650" s="1" t="s">
        <v>468</v>
      </c>
      <c r="B650" s="1" t="s">
        <v>40</v>
      </c>
      <c r="C650" s="9">
        <v>920265140</v>
      </c>
      <c r="D650" s="10">
        <v>4067187041</v>
      </c>
      <c r="E650" s="1" t="s">
        <v>22</v>
      </c>
      <c r="F650" s="24">
        <v>34548</v>
      </c>
      <c r="G650" s="11">
        <f t="shared" ca="1" si="10"/>
        <v>30</v>
      </c>
      <c r="H650" s="12">
        <v>4</v>
      </c>
      <c r="I650" s="17">
        <v>60515</v>
      </c>
      <c r="J650" s="50">
        <v>34548</v>
      </c>
    </row>
    <row r="651" spans="1:10" x14ac:dyDescent="0.2">
      <c r="A651" s="1" t="s">
        <v>463</v>
      </c>
      <c r="B651" s="1" t="s">
        <v>40</v>
      </c>
      <c r="C651" s="9">
        <v>746497232</v>
      </c>
      <c r="D651" s="10">
        <v>4194729409</v>
      </c>
      <c r="E651" s="1" t="s">
        <v>22</v>
      </c>
      <c r="F651" s="24">
        <v>34845</v>
      </c>
      <c r="G651" s="11">
        <f t="shared" ca="1" si="10"/>
        <v>29</v>
      </c>
      <c r="H651" s="12">
        <v>2</v>
      </c>
      <c r="I651" s="17">
        <v>60333</v>
      </c>
      <c r="J651" s="50">
        <v>34845</v>
      </c>
    </row>
    <row r="652" spans="1:10" x14ac:dyDescent="0.2">
      <c r="A652" s="1" t="s">
        <v>489</v>
      </c>
      <c r="B652" s="1" t="s">
        <v>40</v>
      </c>
      <c r="C652" s="9">
        <v>580960042</v>
      </c>
      <c r="D652" s="10">
        <v>4061838930</v>
      </c>
      <c r="E652" s="1" t="s">
        <v>22</v>
      </c>
      <c r="F652" s="24">
        <v>41435</v>
      </c>
      <c r="G652" s="11">
        <f t="shared" ca="1" si="10"/>
        <v>11</v>
      </c>
      <c r="H652" s="12">
        <v>5</v>
      </c>
      <c r="I652" s="17">
        <v>60307</v>
      </c>
      <c r="J652" s="50">
        <v>41435</v>
      </c>
    </row>
    <row r="653" spans="1:10" x14ac:dyDescent="0.2">
      <c r="A653" s="1" t="s">
        <v>179</v>
      </c>
      <c r="B653" s="1" t="s">
        <v>40</v>
      </c>
      <c r="C653" s="9">
        <v>797431044</v>
      </c>
      <c r="D653" s="10">
        <v>4165511103</v>
      </c>
      <c r="E653" s="1" t="s">
        <v>33</v>
      </c>
      <c r="F653" s="24">
        <v>36920</v>
      </c>
      <c r="G653" s="11">
        <f t="shared" ca="1" si="10"/>
        <v>23</v>
      </c>
      <c r="H653" s="12">
        <v>5</v>
      </c>
      <c r="I653" s="17">
        <v>59937</v>
      </c>
      <c r="J653" s="50">
        <v>36920</v>
      </c>
    </row>
    <row r="654" spans="1:10" x14ac:dyDescent="0.2">
      <c r="A654" s="1" t="s">
        <v>87</v>
      </c>
      <c r="B654" s="1" t="s">
        <v>40</v>
      </c>
      <c r="C654" s="9">
        <v>526188716</v>
      </c>
      <c r="D654" s="10">
        <v>5158842613</v>
      </c>
      <c r="E654" s="1" t="s">
        <v>17</v>
      </c>
      <c r="F654" s="24">
        <v>35401</v>
      </c>
      <c r="G654" s="11">
        <f t="shared" ca="1" si="10"/>
        <v>28</v>
      </c>
      <c r="H654" s="12">
        <v>1</v>
      </c>
      <c r="I654" s="17">
        <v>58637</v>
      </c>
      <c r="J654" s="50">
        <v>35401</v>
      </c>
    </row>
    <row r="655" spans="1:10" x14ac:dyDescent="0.2">
      <c r="A655" s="1" t="s">
        <v>447</v>
      </c>
      <c r="B655" s="1" t="s">
        <v>40</v>
      </c>
      <c r="C655" s="9">
        <v>252276921</v>
      </c>
      <c r="D655" s="10">
        <v>7133542524</v>
      </c>
      <c r="E655" s="1" t="s">
        <v>17</v>
      </c>
      <c r="F655" s="24">
        <v>36693</v>
      </c>
      <c r="G655" s="11">
        <f t="shared" ca="1" si="10"/>
        <v>24</v>
      </c>
      <c r="H655" s="12">
        <v>3</v>
      </c>
      <c r="I655" s="17">
        <v>58539</v>
      </c>
      <c r="J655" s="50">
        <v>36693</v>
      </c>
    </row>
    <row r="656" spans="1:10" x14ac:dyDescent="0.2">
      <c r="A656" s="1" t="s">
        <v>511</v>
      </c>
      <c r="B656" s="1" t="s">
        <v>40</v>
      </c>
      <c r="C656" s="9">
        <v>121173068</v>
      </c>
      <c r="D656" s="10">
        <v>2081575684</v>
      </c>
      <c r="E656" s="1" t="s">
        <v>22</v>
      </c>
      <c r="F656" s="24">
        <v>39493</v>
      </c>
      <c r="G656" s="11">
        <f t="shared" ca="1" si="10"/>
        <v>16</v>
      </c>
      <c r="H656" s="12">
        <v>2</v>
      </c>
      <c r="I656" s="17">
        <v>57889</v>
      </c>
      <c r="J656" s="50">
        <v>39493</v>
      </c>
    </row>
    <row r="657" spans="1:10" x14ac:dyDescent="0.2">
      <c r="A657" s="1" t="s">
        <v>606</v>
      </c>
      <c r="B657" s="1" t="s">
        <v>40</v>
      </c>
      <c r="C657" s="9">
        <v>685953695</v>
      </c>
      <c r="D657" s="10">
        <v>2063825834</v>
      </c>
      <c r="E657" s="1" t="s">
        <v>17</v>
      </c>
      <c r="F657" s="24">
        <v>41505</v>
      </c>
      <c r="G657" s="11">
        <f t="shared" ca="1" si="10"/>
        <v>11</v>
      </c>
      <c r="H657" s="12">
        <v>4</v>
      </c>
      <c r="I657" s="17">
        <v>55887</v>
      </c>
      <c r="J657" s="50">
        <v>41505</v>
      </c>
    </row>
    <row r="658" spans="1:10" x14ac:dyDescent="0.2">
      <c r="A658" s="1" t="s">
        <v>54</v>
      </c>
      <c r="B658" s="1" t="s">
        <v>40</v>
      </c>
      <c r="C658" s="9">
        <v>297806507</v>
      </c>
      <c r="D658" s="10">
        <v>9114627771</v>
      </c>
      <c r="E658" s="1" t="s">
        <v>17</v>
      </c>
      <c r="F658" s="24">
        <v>36147</v>
      </c>
      <c r="G658" s="11">
        <f t="shared" ca="1" si="10"/>
        <v>26</v>
      </c>
      <c r="H658" s="12">
        <v>5</v>
      </c>
      <c r="I658" s="17">
        <v>54301</v>
      </c>
      <c r="J658" s="50">
        <v>36147</v>
      </c>
    </row>
    <row r="659" spans="1:10" x14ac:dyDescent="0.2">
      <c r="A659" s="1" t="s">
        <v>293</v>
      </c>
      <c r="B659" s="1" t="s">
        <v>40</v>
      </c>
      <c r="C659" s="9">
        <v>420739404</v>
      </c>
      <c r="D659" s="10">
        <v>7056698101</v>
      </c>
      <c r="E659" s="1" t="s">
        <v>22</v>
      </c>
      <c r="F659" s="24">
        <v>36494</v>
      </c>
      <c r="G659" s="11">
        <f t="shared" ca="1" si="10"/>
        <v>25</v>
      </c>
      <c r="H659" s="12">
        <v>2</v>
      </c>
      <c r="I659" s="17">
        <v>53794</v>
      </c>
      <c r="J659" s="50">
        <v>36494</v>
      </c>
    </row>
    <row r="660" spans="1:10" x14ac:dyDescent="0.2">
      <c r="A660" s="1" t="s">
        <v>458</v>
      </c>
      <c r="B660" s="1" t="s">
        <v>40</v>
      </c>
      <c r="C660" s="9">
        <v>683222853</v>
      </c>
      <c r="D660" s="10">
        <v>4083744359</v>
      </c>
      <c r="E660" s="1" t="s">
        <v>22</v>
      </c>
      <c r="F660" s="24">
        <v>41547</v>
      </c>
      <c r="G660" s="11">
        <f t="shared" ca="1" si="10"/>
        <v>11</v>
      </c>
      <c r="H660" s="12">
        <v>5</v>
      </c>
      <c r="I660" s="17">
        <v>52338</v>
      </c>
      <c r="J660" s="50">
        <v>41547</v>
      </c>
    </row>
    <row r="661" spans="1:10" x14ac:dyDescent="0.2">
      <c r="A661" s="1" t="s">
        <v>379</v>
      </c>
      <c r="B661" s="1" t="s">
        <v>40</v>
      </c>
      <c r="C661" s="9">
        <v>102159909</v>
      </c>
      <c r="D661" s="10">
        <v>6111220758</v>
      </c>
      <c r="E661" s="1" t="s">
        <v>33</v>
      </c>
      <c r="F661" s="24">
        <v>36164</v>
      </c>
      <c r="G661" s="11">
        <f t="shared" ca="1" si="10"/>
        <v>26</v>
      </c>
      <c r="H661" s="12">
        <v>2</v>
      </c>
      <c r="I661" s="17">
        <v>49537</v>
      </c>
      <c r="J661" s="50">
        <v>36164</v>
      </c>
    </row>
    <row r="662" spans="1:10" x14ac:dyDescent="0.2">
      <c r="A662" s="1" t="s">
        <v>362</v>
      </c>
      <c r="B662" s="1" t="s">
        <v>40</v>
      </c>
      <c r="C662" s="9">
        <v>561530671</v>
      </c>
      <c r="D662" s="10">
        <v>5161534053</v>
      </c>
      <c r="E662" s="1" t="s">
        <v>33</v>
      </c>
      <c r="F662" s="24">
        <v>36333</v>
      </c>
      <c r="G662" s="11">
        <f t="shared" ca="1" si="10"/>
        <v>25</v>
      </c>
      <c r="H662" s="12">
        <v>4</v>
      </c>
      <c r="I662" s="17">
        <v>48958</v>
      </c>
      <c r="J662" s="50">
        <v>36333</v>
      </c>
    </row>
    <row r="663" spans="1:10" x14ac:dyDescent="0.2">
      <c r="A663" s="1" t="s">
        <v>192</v>
      </c>
      <c r="B663" s="1" t="s">
        <v>40</v>
      </c>
      <c r="C663" s="9">
        <v>566726453</v>
      </c>
      <c r="D663" s="10">
        <v>2071653055</v>
      </c>
      <c r="E663" s="1" t="s">
        <v>81</v>
      </c>
      <c r="F663" s="24">
        <v>39513</v>
      </c>
      <c r="G663" s="11">
        <f t="shared" ca="1" si="10"/>
        <v>16</v>
      </c>
      <c r="H663" s="12">
        <v>2</v>
      </c>
      <c r="I663" s="17">
        <v>48547</v>
      </c>
      <c r="J663" s="50">
        <v>39513</v>
      </c>
    </row>
    <row r="664" spans="1:10" x14ac:dyDescent="0.2">
      <c r="A664" s="1" t="s">
        <v>158</v>
      </c>
      <c r="B664" s="1" t="s">
        <v>40</v>
      </c>
      <c r="C664" s="9">
        <v>798466688</v>
      </c>
      <c r="D664" s="10">
        <v>3135520461</v>
      </c>
      <c r="E664" s="1" t="s">
        <v>22</v>
      </c>
      <c r="F664" s="24">
        <v>37416</v>
      </c>
      <c r="G664" s="11">
        <f t="shared" ca="1" si="10"/>
        <v>22</v>
      </c>
      <c r="H664" s="12">
        <v>1</v>
      </c>
      <c r="I664" s="17">
        <v>46098</v>
      </c>
      <c r="J664" s="50">
        <v>37416</v>
      </c>
    </row>
    <row r="665" spans="1:10" x14ac:dyDescent="0.2">
      <c r="A665" s="1" t="s">
        <v>455</v>
      </c>
      <c r="B665" s="1" t="s">
        <v>40</v>
      </c>
      <c r="C665" s="9">
        <v>983891302</v>
      </c>
      <c r="D665" s="10">
        <v>6068561246</v>
      </c>
      <c r="E665" s="1" t="s">
        <v>17</v>
      </c>
      <c r="F665" s="24">
        <v>35026</v>
      </c>
      <c r="G665" s="11">
        <f t="shared" ca="1" si="10"/>
        <v>29</v>
      </c>
      <c r="H665" s="12">
        <v>3</v>
      </c>
      <c r="I665" s="17">
        <v>45812</v>
      </c>
      <c r="J665" s="50">
        <v>35026</v>
      </c>
    </row>
    <row r="666" spans="1:10" x14ac:dyDescent="0.2">
      <c r="A666" s="1" t="s">
        <v>547</v>
      </c>
      <c r="B666" s="1" t="s">
        <v>40</v>
      </c>
      <c r="C666" s="9">
        <v>828996583</v>
      </c>
      <c r="D666" s="10">
        <v>6145866887</v>
      </c>
      <c r="E666" s="1" t="s">
        <v>22</v>
      </c>
      <c r="F666" s="24">
        <v>40885</v>
      </c>
      <c r="G666" s="11">
        <f t="shared" ca="1" si="10"/>
        <v>13</v>
      </c>
      <c r="H666" s="12">
        <v>3</v>
      </c>
      <c r="I666" s="17">
        <v>45487</v>
      </c>
      <c r="J666" s="50">
        <v>40885</v>
      </c>
    </row>
    <row r="667" spans="1:10" x14ac:dyDescent="0.2">
      <c r="A667" s="1" t="s">
        <v>165</v>
      </c>
      <c r="B667" s="1" t="s">
        <v>40</v>
      </c>
      <c r="C667" s="9">
        <v>765512793</v>
      </c>
      <c r="D667" s="10">
        <v>8085012757</v>
      </c>
      <c r="E667" s="1" t="s">
        <v>81</v>
      </c>
      <c r="F667" s="24">
        <v>36114</v>
      </c>
      <c r="G667" s="11">
        <f t="shared" ca="1" si="10"/>
        <v>26</v>
      </c>
      <c r="H667" s="12">
        <v>3</v>
      </c>
      <c r="I667" s="17">
        <v>43878</v>
      </c>
      <c r="J667" s="50">
        <v>36114</v>
      </c>
    </row>
    <row r="668" spans="1:10" x14ac:dyDescent="0.2">
      <c r="A668" s="1" t="s">
        <v>199</v>
      </c>
      <c r="B668" s="1" t="s">
        <v>40</v>
      </c>
      <c r="C668" s="9">
        <v>924942231</v>
      </c>
      <c r="D668" s="10">
        <v>3017312659</v>
      </c>
      <c r="E668" s="1" t="s">
        <v>22</v>
      </c>
      <c r="F668" s="24">
        <v>36004</v>
      </c>
      <c r="G668" s="11">
        <f t="shared" ca="1" si="10"/>
        <v>26</v>
      </c>
      <c r="H668" s="12">
        <v>5</v>
      </c>
      <c r="I668" s="17">
        <v>43667</v>
      </c>
      <c r="J668" s="50">
        <v>36004</v>
      </c>
    </row>
    <row r="669" spans="1:10" x14ac:dyDescent="0.2">
      <c r="A669" s="1" t="s">
        <v>152</v>
      </c>
      <c r="B669" s="1" t="s">
        <v>40</v>
      </c>
      <c r="C669" s="9">
        <v>291803431</v>
      </c>
      <c r="D669" s="10">
        <v>7044411859</v>
      </c>
      <c r="E669" s="1" t="s">
        <v>17</v>
      </c>
      <c r="F669" s="24">
        <v>39305</v>
      </c>
      <c r="G669" s="11">
        <f t="shared" ca="1" si="10"/>
        <v>17</v>
      </c>
      <c r="H669" s="12">
        <v>3</v>
      </c>
      <c r="I669" s="17">
        <v>42744</v>
      </c>
      <c r="J669" s="50">
        <v>39305</v>
      </c>
    </row>
    <row r="670" spans="1:10" x14ac:dyDescent="0.2">
      <c r="A670" s="1" t="s">
        <v>338</v>
      </c>
      <c r="B670" s="1" t="s">
        <v>40</v>
      </c>
      <c r="C670" s="9">
        <v>360904659</v>
      </c>
      <c r="D670" s="10">
        <v>7145832994</v>
      </c>
      <c r="E670" s="1" t="s">
        <v>81</v>
      </c>
      <c r="F670" s="24">
        <v>37325</v>
      </c>
      <c r="G670" s="11">
        <f t="shared" ca="1" si="10"/>
        <v>22</v>
      </c>
      <c r="H670" s="12">
        <v>2</v>
      </c>
      <c r="I670" s="17">
        <v>42297</v>
      </c>
      <c r="J670" s="50">
        <v>37325</v>
      </c>
    </row>
    <row r="671" spans="1:10" x14ac:dyDescent="0.2">
      <c r="A671" s="1" t="s">
        <v>49</v>
      </c>
      <c r="B671" s="1" t="s">
        <v>40</v>
      </c>
      <c r="C671" s="9">
        <v>651999482</v>
      </c>
      <c r="D671" s="10">
        <v>2183204992</v>
      </c>
      <c r="E671" s="1" t="s">
        <v>22</v>
      </c>
      <c r="F671" s="24">
        <v>34788</v>
      </c>
      <c r="G671" s="11">
        <f t="shared" ca="1" si="10"/>
        <v>29</v>
      </c>
      <c r="H671" s="12">
        <v>3</v>
      </c>
      <c r="I671" s="17">
        <v>41808</v>
      </c>
      <c r="J671" s="50">
        <v>34788</v>
      </c>
    </row>
    <row r="672" spans="1:10" x14ac:dyDescent="0.2">
      <c r="A672" s="1" t="s">
        <v>411</v>
      </c>
      <c r="B672" s="1" t="s">
        <v>40</v>
      </c>
      <c r="C672" s="9">
        <v>337370590</v>
      </c>
      <c r="D672" s="10">
        <v>7045317859</v>
      </c>
      <c r="E672" s="1" t="s">
        <v>22</v>
      </c>
      <c r="F672" s="24">
        <v>36174</v>
      </c>
      <c r="G672" s="11">
        <f t="shared" ca="1" si="10"/>
        <v>26</v>
      </c>
      <c r="H672" s="12">
        <v>4</v>
      </c>
      <c r="I672" s="17">
        <v>41197</v>
      </c>
      <c r="J672" s="50">
        <v>36174</v>
      </c>
    </row>
    <row r="673" spans="1:10" x14ac:dyDescent="0.2">
      <c r="A673" s="1" t="s">
        <v>556</v>
      </c>
      <c r="B673" s="1" t="s">
        <v>40</v>
      </c>
      <c r="C673" s="9">
        <v>619456809</v>
      </c>
      <c r="D673" s="10">
        <v>4052387348</v>
      </c>
      <c r="E673" s="1" t="s">
        <v>81</v>
      </c>
      <c r="F673" s="24">
        <v>36443</v>
      </c>
      <c r="G673" s="11">
        <f t="shared" ca="1" si="10"/>
        <v>25</v>
      </c>
      <c r="H673" s="12">
        <v>3</v>
      </c>
      <c r="I673" s="17">
        <v>37398</v>
      </c>
      <c r="J673" s="50">
        <v>36443</v>
      </c>
    </row>
    <row r="674" spans="1:10" x14ac:dyDescent="0.2">
      <c r="A674" s="1" t="s">
        <v>246</v>
      </c>
      <c r="B674" s="1" t="s">
        <v>40</v>
      </c>
      <c r="C674" s="9">
        <v>749768847</v>
      </c>
      <c r="D674" s="10">
        <v>5054733288</v>
      </c>
      <c r="E674" s="1" t="s">
        <v>17</v>
      </c>
      <c r="F674" s="24">
        <v>37966</v>
      </c>
      <c r="G674" s="11">
        <f t="shared" ca="1" si="10"/>
        <v>21</v>
      </c>
      <c r="H674" s="12">
        <v>5</v>
      </c>
      <c r="I674" s="17">
        <v>36751</v>
      </c>
      <c r="J674" s="50">
        <v>37966</v>
      </c>
    </row>
    <row r="675" spans="1:10" x14ac:dyDescent="0.2">
      <c r="A675" s="1" t="s">
        <v>730</v>
      </c>
      <c r="B675" s="1" t="s">
        <v>40</v>
      </c>
      <c r="C675" s="9">
        <v>626648632</v>
      </c>
      <c r="D675" s="10">
        <v>4132529195</v>
      </c>
      <c r="E675" s="1" t="s">
        <v>22</v>
      </c>
      <c r="F675" s="24">
        <v>36231</v>
      </c>
      <c r="G675" s="11">
        <f t="shared" ca="1" si="10"/>
        <v>25</v>
      </c>
      <c r="H675" s="12">
        <v>5</v>
      </c>
      <c r="I675" s="17">
        <v>35269</v>
      </c>
      <c r="J675" s="50">
        <v>36231</v>
      </c>
    </row>
    <row r="676" spans="1:10" x14ac:dyDescent="0.2">
      <c r="A676" s="1" t="s">
        <v>551</v>
      </c>
      <c r="B676" s="1" t="s">
        <v>40</v>
      </c>
      <c r="C676" s="9">
        <v>581823751</v>
      </c>
      <c r="D676" s="10">
        <v>5161847141</v>
      </c>
      <c r="E676" s="1" t="s">
        <v>81</v>
      </c>
      <c r="F676" s="24">
        <v>35692</v>
      </c>
      <c r="G676" s="11">
        <f t="shared" ca="1" si="10"/>
        <v>27</v>
      </c>
      <c r="H676" s="12">
        <v>4</v>
      </c>
      <c r="I676" s="17">
        <v>35027</v>
      </c>
      <c r="J676" s="50">
        <v>35692</v>
      </c>
    </row>
    <row r="677" spans="1:10" x14ac:dyDescent="0.2">
      <c r="A677" s="1" t="s">
        <v>530</v>
      </c>
      <c r="B677" s="1" t="s">
        <v>40</v>
      </c>
      <c r="C677" s="9">
        <v>239847790</v>
      </c>
      <c r="D677" s="10">
        <v>3033122083</v>
      </c>
      <c r="E677" s="1" t="s">
        <v>33</v>
      </c>
      <c r="F677" s="24">
        <v>37329</v>
      </c>
      <c r="G677" s="11">
        <f t="shared" ca="1" si="10"/>
        <v>22</v>
      </c>
      <c r="H677" s="12">
        <v>5</v>
      </c>
      <c r="I677" s="17">
        <v>34041</v>
      </c>
      <c r="J677" s="50">
        <v>37329</v>
      </c>
    </row>
    <row r="678" spans="1:10" x14ac:dyDescent="0.2">
      <c r="A678" s="1" t="s">
        <v>746</v>
      </c>
      <c r="B678" s="1" t="s">
        <v>40</v>
      </c>
      <c r="C678" s="9">
        <v>535539723</v>
      </c>
      <c r="D678" s="10">
        <v>4131162663</v>
      </c>
      <c r="E678" s="1" t="s">
        <v>22</v>
      </c>
      <c r="F678" s="24">
        <v>40038</v>
      </c>
      <c r="G678" s="11">
        <f t="shared" ca="1" si="10"/>
        <v>15</v>
      </c>
      <c r="H678" s="12">
        <v>2</v>
      </c>
      <c r="I678" s="17">
        <v>33397</v>
      </c>
      <c r="J678" s="50">
        <v>40038</v>
      </c>
    </row>
    <row r="679" spans="1:10" x14ac:dyDescent="0.2">
      <c r="A679" s="1" t="s">
        <v>187</v>
      </c>
      <c r="B679" s="1" t="s">
        <v>40</v>
      </c>
      <c r="C679" s="9">
        <v>941937371</v>
      </c>
      <c r="D679" s="10">
        <v>5057785583</v>
      </c>
      <c r="E679" s="1" t="s">
        <v>17</v>
      </c>
      <c r="F679" s="24">
        <v>38008</v>
      </c>
      <c r="G679" s="11">
        <f t="shared" ca="1" si="10"/>
        <v>21</v>
      </c>
      <c r="H679" s="12">
        <v>3</v>
      </c>
      <c r="I679" s="17">
        <v>33189</v>
      </c>
      <c r="J679" s="50">
        <v>38008</v>
      </c>
    </row>
    <row r="680" spans="1:10" x14ac:dyDescent="0.2">
      <c r="A680" s="1" t="s">
        <v>118</v>
      </c>
      <c r="B680" s="1" t="s">
        <v>40</v>
      </c>
      <c r="C680" s="9">
        <v>799754905</v>
      </c>
      <c r="D680" s="10">
        <v>7115526537</v>
      </c>
      <c r="E680" s="1" t="s">
        <v>22</v>
      </c>
      <c r="F680" s="24">
        <v>40150</v>
      </c>
      <c r="G680" s="11">
        <f t="shared" ca="1" si="10"/>
        <v>15</v>
      </c>
      <c r="H680" s="12">
        <v>3</v>
      </c>
      <c r="I680" s="17">
        <v>32474</v>
      </c>
      <c r="J680" s="50">
        <v>40150</v>
      </c>
    </row>
    <row r="681" spans="1:10" x14ac:dyDescent="0.2">
      <c r="A681" s="1" t="s">
        <v>136</v>
      </c>
      <c r="B681" s="1" t="s">
        <v>40</v>
      </c>
      <c r="C681" s="9">
        <v>291841866</v>
      </c>
      <c r="D681" s="10">
        <v>6044442142</v>
      </c>
      <c r="E681" s="1" t="s">
        <v>22</v>
      </c>
      <c r="F681" s="24">
        <v>34146</v>
      </c>
      <c r="G681" s="11">
        <f t="shared" ca="1" si="10"/>
        <v>31</v>
      </c>
      <c r="H681" s="12">
        <v>5</v>
      </c>
      <c r="I681" s="17">
        <v>31460</v>
      </c>
      <c r="J681" s="50">
        <v>34146</v>
      </c>
    </row>
    <row r="682" spans="1:10" x14ac:dyDescent="0.2">
      <c r="A682" s="1" t="s">
        <v>565</v>
      </c>
      <c r="B682" s="1" t="s">
        <v>40</v>
      </c>
      <c r="C682" s="9">
        <v>525507320</v>
      </c>
      <c r="D682" s="10">
        <v>4048792521</v>
      </c>
      <c r="E682" s="1" t="s">
        <v>17</v>
      </c>
      <c r="F682" s="24">
        <v>34011</v>
      </c>
      <c r="G682" s="11">
        <f t="shared" ca="1" si="10"/>
        <v>31</v>
      </c>
      <c r="H682" s="12">
        <v>4</v>
      </c>
      <c r="I682" s="17">
        <v>30342</v>
      </c>
      <c r="J682" s="50">
        <v>34011</v>
      </c>
    </row>
    <row r="683" spans="1:10" x14ac:dyDescent="0.2">
      <c r="A683" s="1" t="s">
        <v>91</v>
      </c>
      <c r="B683" s="1" t="s">
        <v>40</v>
      </c>
      <c r="C683" s="9">
        <v>523758324</v>
      </c>
      <c r="D683" s="10">
        <v>3128742282</v>
      </c>
      <c r="E683" s="1" t="s">
        <v>22</v>
      </c>
      <c r="F683" s="24">
        <v>41547</v>
      </c>
      <c r="G683" s="11">
        <f t="shared" ca="1" si="10"/>
        <v>11</v>
      </c>
      <c r="H683" s="12">
        <v>4</v>
      </c>
      <c r="I683" s="17">
        <v>29939</v>
      </c>
      <c r="J683" s="50">
        <v>41547</v>
      </c>
    </row>
    <row r="684" spans="1:10" x14ac:dyDescent="0.2">
      <c r="A684" s="1" t="s">
        <v>96</v>
      </c>
      <c r="B684" s="1" t="s">
        <v>40</v>
      </c>
      <c r="C684" s="9">
        <v>914428485</v>
      </c>
      <c r="D684" s="10">
        <v>6187103200</v>
      </c>
      <c r="E684" s="1" t="s">
        <v>22</v>
      </c>
      <c r="F684" s="24">
        <v>40546</v>
      </c>
      <c r="G684" s="11">
        <f t="shared" ca="1" si="10"/>
        <v>14</v>
      </c>
      <c r="H684" s="12">
        <v>5</v>
      </c>
      <c r="I684" s="17">
        <v>29666</v>
      </c>
      <c r="J684" s="50">
        <v>40546</v>
      </c>
    </row>
    <row r="685" spans="1:10" x14ac:dyDescent="0.2">
      <c r="A685" s="1" t="s">
        <v>72</v>
      </c>
      <c r="B685" s="1" t="s">
        <v>40</v>
      </c>
      <c r="C685" s="9">
        <v>289103201</v>
      </c>
      <c r="D685" s="10">
        <v>8014272773</v>
      </c>
      <c r="E685" s="1" t="s">
        <v>33</v>
      </c>
      <c r="F685" s="24">
        <v>34872</v>
      </c>
      <c r="G685" s="11">
        <f t="shared" ca="1" si="10"/>
        <v>29</v>
      </c>
      <c r="H685" s="12">
        <v>1</v>
      </c>
      <c r="I685" s="17">
        <v>25916</v>
      </c>
      <c r="J685" s="50">
        <v>34872</v>
      </c>
    </row>
    <row r="686" spans="1:10" x14ac:dyDescent="0.2">
      <c r="A686" s="1" t="s">
        <v>133</v>
      </c>
      <c r="B686" s="1" t="s">
        <v>40</v>
      </c>
      <c r="C686" s="9">
        <v>311309049</v>
      </c>
      <c r="D686" s="10">
        <v>3044752921</v>
      </c>
      <c r="E686" s="1" t="s">
        <v>33</v>
      </c>
      <c r="F686" s="24">
        <v>37232</v>
      </c>
      <c r="G686" s="11">
        <f t="shared" ca="1" si="10"/>
        <v>23</v>
      </c>
      <c r="H686" s="12">
        <v>2</v>
      </c>
      <c r="I686" s="17">
        <v>25773</v>
      </c>
      <c r="J686" s="50">
        <v>37232</v>
      </c>
    </row>
    <row r="687" spans="1:10" x14ac:dyDescent="0.2">
      <c r="A687" s="1" t="s">
        <v>161</v>
      </c>
      <c r="B687" s="1" t="s">
        <v>40</v>
      </c>
      <c r="C687" s="9">
        <v>499124019</v>
      </c>
      <c r="D687" s="10">
        <v>6188405900</v>
      </c>
      <c r="E687" s="1" t="s">
        <v>33</v>
      </c>
      <c r="F687" s="24">
        <v>37785</v>
      </c>
      <c r="G687" s="11">
        <f t="shared" ca="1" si="10"/>
        <v>21</v>
      </c>
      <c r="H687" s="12">
        <v>5</v>
      </c>
      <c r="I687" s="17">
        <v>22367</v>
      </c>
      <c r="J687" s="50">
        <v>37785</v>
      </c>
    </row>
    <row r="688" spans="1:10" x14ac:dyDescent="0.2">
      <c r="A688" s="1" t="s">
        <v>273</v>
      </c>
      <c r="B688" s="1" t="s">
        <v>40</v>
      </c>
      <c r="C688" s="9">
        <v>736688620</v>
      </c>
      <c r="D688" s="10">
        <v>4114630903</v>
      </c>
      <c r="E688" s="1" t="s">
        <v>33</v>
      </c>
      <c r="F688" s="24">
        <v>36385</v>
      </c>
      <c r="G688" s="11">
        <f t="shared" ca="1" si="10"/>
        <v>25</v>
      </c>
      <c r="H688" s="12">
        <v>5</v>
      </c>
      <c r="I688" s="17">
        <v>17797</v>
      </c>
      <c r="J688" s="50">
        <v>36385</v>
      </c>
    </row>
    <row r="689" spans="1:10" x14ac:dyDescent="0.2">
      <c r="A689" s="1" t="s">
        <v>77</v>
      </c>
      <c r="B689" s="1" t="s">
        <v>40</v>
      </c>
      <c r="C689" s="9">
        <v>261920277</v>
      </c>
      <c r="D689" s="10">
        <v>2173838954</v>
      </c>
      <c r="E689" s="1" t="s">
        <v>33</v>
      </c>
      <c r="F689" s="24">
        <v>34258</v>
      </c>
      <c r="G689" s="11">
        <f t="shared" ca="1" si="10"/>
        <v>31</v>
      </c>
      <c r="H689" s="12">
        <v>2</v>
      </c>
      <c r="I689" s="17">
        <v>17492</v>
      </c>
      <c r="J689" s="50">
        <v>34258</v>
      </c>
    </row>
    <row r="690" spans="1:10" x14ac:dyDescent="0.2">
      <c r="A690" s="1" t="s">
        <v>633</v>
      </c>
      <c r="B690" s="1" t="s">
        <v>221</v>
      </c>
      <c r="C690" s="9">
        <v>550291321</v>
      </c>
      <c r="D690" s="10">
        <v>4041362796</v>
      </c>
      <c r="E690" s="1" t="s">
        <v>17</v>
      </c>
      <c r="F690" s="24">
        <v>34254</v>
      </c>
      <c r="G690" s="11">
        <f t="shared" ca="1" si="10"/>
        <v>31</v>
      </c>
      <c r="H690" s="12">
        <v>4</v>
      </c>
      <c r="I690" s="17">
        <v>111163</v>
      </c>
      <c r="J690" s="50">
        <v>34254</v>
      </c>
    </row>
    <row r="691" spans="1:10" x14ac:dyDescent="0.2">
      <c r="A691" s="1" t="s">
        <v>220</v>
      </c>
      <c r="B691" s="1" t="s">
        <v>221</v>
      </c>
      <c r="C691" s="9">
        <v>852430023</v>
      </c>
      <c r="D691" s="10">
        <v>3026109756</v>
      </c>
      <c r="E691" s="1" t="s">
        <v>17</v>
      </c>
      <c r="F691" s="24">
        <v>41586</v>
      </c>
      <c r="G691" s="11">
        <f t="shared" ca="1" si="10"/>
        <v>11</v>
      </c>
      <c r="H691" s="12">
        <v>4</v>
      </c>
      <c r="I691" s="17">
        <v>85972</v>
      </c>
      <c r="J691" s="50">
        <v>41586</v>
      </c>
    </row>
    <row r="692" spans="1:10" x14ac:dyDescent="0.2">
      <c r="A692" s="1" t="s">
        <v>222</v>
      </c>
      <c r="B692" s="1" t="s">
        <v>221</v>
      </c>
      <c r="C692" s="9">
        <v>600458368</v>
      </c>
      <c r="D692" s="10">
        <v>7052168237</v>
      </c>
      <c r="E692" s="1" t="s">
        <v>22</v>
      </c>
      <c r="F692" s="24">
        <v>37858</v>
      </c>
      <c r="G692" s="11">
        <f t="shared" ca="1" si="10"/>
        <v>21</v>
      </c>
      <c r="H692" s="12">
        <v>5</v>
      </c>
      <c r="I692" s="17">
        <v>82771</v>
      </c>
      <c r="J692" s="50">
        <v>37858</v>
      </c>
    </row>
    <row r="693" spans="1:10" x14ac:dyDescent="0.2">
      <c r="A693" s="1" t="s">
        <v>714</v>
      </c>
      <c r="B693" s="1" t="s">
        <v>221</v>
      </c>
      <c r="C693" s="9">
        <v>317193890</v>
      </c>
      <c r="D693" s="10">
        <v>9034936058</v>
      </c>
      <c r="E693" s="1" t="s">
        <v>22</v>
      </c>
      <c r="F693" s="24">
        <v>38551</v>
      </c>
      <c r="G693" s="11">
        <f t="shared" ca="1" si="10"/>
        <v>19</v>
      </c>
      <c r="H693" s="12">
        <v>5</v>
      </c>
      <c r="I693" s="17">
        <v>55640</v>
      </c>
      <c r="J693" s="50">
        <v>38551</v>
      </c>
    </row>
    <row r="694" spans="1:10" x14ac:dyDescent="0.2">
      <c r="A694" s="1" t="s">
        <v>485</v>
      </c>
      <c r="B694" s="1" t="s">
        <v>221</v>
      </c>
      <c r="C694" s="9">
        <v>657835603</v>
      </c>
      <c r="D694" s="10">
        <v>5113279828</v>
      </c>
      <c r="E694" s="1" t="s">
        <v>22</v>
      </c>
      <c r="F694" s="24">
        <v>37940</v>
      </c>
      <c r="G694" s="11">
        <f t="shared" ca="1" si="10"/>
        <v>21</v>
      </c>
      <c r="H694" s="12">
        <v>5</v>
      </c>
      <c r="I694" s="17">
        <v>52884</v>
      </c>
      <c r="J694" s="50">
        <v>37940</v>
      </c>
    </row>
    <row r="695" spans="1:10" x14ac:dyDescent="0.2">
      <c r="A695" s="1" t="s">
        <v>361</v>
      </c>
      <c r="B695" s="1" t="s">
        <v>173</v>
      </c>
      <c r="C695" s="9">
        <v>145240921</v>
      </c>
      <c r="D695" s="10">
        <v>6091780498</v>
      </c>
      <c r="E695" s="1" t="s">
        <v>17</v>
      </c>
      <c r="F695" s="24">
        <v>35392</v>
      </c>
      <c r="G695" s="11">
        <f t="shared" ca="1" si="10"/>
        <v>28</v>
      </c>
      <c r="H695" s="12">
        <v>5</v>
      </c>
      <c r="I695" s="17">
        <v>84136</v>
      </c>
      <c r="J695" s="50">
        <v>35392</v>
      </c>
    </row>
    <row r="696" spans="1:10" x14ac:dyDescent="0.2">
      <c r="A696" s="1" t="s">
        <v>172</v>
      </c>
      <c r="B696" s="1" t="s">
        <v>173</v>
      </c>
      <c r="C696" s="9">
        <v>662974752</v>
      </c>
      <c r="D696" s="10">
        <v>7093482736</v>
      </c>
      <c r="E696" s="1" t="s">
        <v>17</v>
      </c>
      <c r="F696" s="24">
        <v>34870</v>
      </c>
      <c r="G696" s="11">
        <f t="shared" ca="1" si="10"/>
        <v>29</v>
      </c>
      <c r="H696" s="12">
        <v>2</v>
      </c>
      <c r="I696" s="17">
        <v>78988</v>
      </c>
      <c r="J696" s="50">
        <v>34870</v>
      </c>
    </row>
    <row r="697" spans="1:10" x14ac:dyDescent="0.2">
      <c r="A697" s="1" t="s">
        <v>525</v>
      </c>
      <c r="B697" s="1" t="s">
        <v>173</v>
      </c>
      <c r="C697" s="9">
        <v>943671719</v>
      </c>
      <c r="D697" s="10">
        <v>9067803578</v>
      </c>
      <c r="E697" s="1" t="s">
        <v>22</v>
      </c>
      <c r="F697" s="24">
        <v>41251</v>
      </c>
      <c r="G697" s="11">
        <f t="shared" ca="1" si="10"/>
        <v>12</v>
      </c>
      <c r="H697" s="12">
        <v>1</v>
      </c>
      <c r="I697" s="17">
        <v>60684</v>
      </c>
      <c r="J697" s="50">
        <v>41251</v>
      </c>
    </row>
    <row r="698" spans="1:10" x14ac:dyDescent="0.2">
      <c r="A698" s="1" t="s">
        <v>429</v>
      </c>
      <c r="B698" s="1" t="s">
        <v>173</v>
      </c>
      <c r="C698" s="9">
        <v>709234421</v>
      </c>
      <c r="D698" s="10">
        <v>5194323329</v>
      </c>
      <c r="E698" s="1" t="s">
        <v>33</v>
      </c>
      <c r="F698" s="24">
        <v>37424</v>
      </c>
      <c r="G698" s="11">
        <f t="shared" ca="1" si="10"/>
        <v>22</v>
      </c>
      <c r="H698" s="12">
        <v>2</v>
      </c>
      <c r="I698" s="17">
        <v>40625</v>
      </c>
      <c r="J698" s="50">
        <v>37424</v>
      </c>
    </row>
    <row r="699" spans="1:10" x14ac:dyDescent="0.2">
      <c r="A699" s="1" t="s">
        <v>675</v>
      </c>
      <c r="B699" s="1" t="s">
        <v>173</v>
      </c>
      <c r="C699" s="9">
        <v>259330447</v>
      </c>
      <c r="D699" s="10">
        <v>2153646601</v>
      </c>
      <c r="E699" s="1" t="s">
        <v>81</v>
      </c>
      <c r="F699" s="24">
        <v>41410</v>
      </c>
      <c r="G699" s="11">
        <f t="shared" ca="1" si="10"/>
        <v>11</v>
      </c>
      <c r="H699" s="12">
        <v>1</v>
      </c>
      <c r="I699" s="17">
        <v>24757</v>
      </c>
      <c r="J699" s="50">
        <v>41410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0596A-1CAB-4EDB-829C-8EDC1DC5C484}">
  <sheetPr codeName="Sheet2"/>
  <dimension ref="A1:D74"/>
  <sheetViews>
    <sheetView zoomScale="185" zoomScaleNormal="149" zoomScalePageLayoutView="149" workbookViewId="0">
      <pane ySplit="2" topLeftCell="A50" activePane="bottomLeft" state="frozen"/>
      <selection pane="bottomLeft" activeCell="B2" sqref="B2:B74"/>
    </sheetView>
  </sheetViews>
  <sheetFormatPr baseColWidth="10" defaultColWidth="8.83203125" defaultRowHeight="15" x14ac:dyDescent="0.2"/>
  <cols>
    <col min="1" max="1" width="22.1640625" style="1" customWidth="1"/>
    <col min="2" max="2" width="22.6640625" style="1" customWidth="1"/>
    <col min="3" max="3" width="14.5" style="29" bestFit="1" customWidth="1"/>
    <col min="4" max="4" width="11.33203125" style="1" customWidth="1"/>
    <col min="5" max="16384" width="8.83203125" style="1"/>
  </cols>
  <sheetData>
    <row r="1" spans="1:3" ht="41" customHeight="1" x14ac:dyDescent="0.2"/>
    <row r="2" spans="1:3" ht="39" customHeight="1" x14ac:dyDescent="0.2">
      <c r="A2" s="1" t="s">
        <v>768</v>
      </c>
      <c r="B2" s="1" t="s">
        <v>125</v>
      </c>
      <c r="C2" s="10" t="s">
        <v>769</v>
      </c>
    </row>
    <row r="3" spans="1:3" x14ac:dyDescent="0.2">
      <c r="A3" s="1" t="s">
        <v>782</v>
      </c>
      <c r="B3" s="1" t="s">
        <v>125</v>
      </c>
      <c r="C3" s="10" t="s">
        <v>783</v>
      </c>
    </row>
    <row r="4" spans="1:3" x14ac:dyDescent="0.2">
      <c r="A4" s="1" t="s">
        <v>808</v>
      </c>
      <c r="B4" s="1" t="s">
        <v>125</v>
      </c>
      <c r="C4" s="10" t="s">
        <v>809</v>
      </c>
    </row>
    <row r="5" spans="1:3" x14ac:dyDescent="0.2">
      <c r="A5" s="1" t="s">
        <v>754</v>
      </c>
      <c r="B5" s="1" t="s">
        <v>68</v>
      </c>
      <c r="C5" s="10" t="s">
        <v>755</v>
      </c>
    </row>
    <row r="6" spans="1:3" x14ac:dyDescent="0.2">
      <c r="A6" s="1" t="s">
        <v>800</v>
      </c>
      <c r="B6" s="1" t="s">
        <v>68</v>
      </c>
      <c r="C6" s="10" t="s">
        <v>801</v>
      </c>
    </row>
    <row r="7" spans="1:3" x14ac:dyDescent="0.2">
      <c r="A7" s="1" t="s">
        <v>827</v>
      </c>
      <c r="B7" s="1" t="s">
        <v>68</v>
      </c>
      <c r="C7" s="10" t="s">
        <v>828</v>
      </c>
    </row>
    <row r="8" spans="1:3" x14ac:dyDescent="0.2">
      <c r="A8" s="1" t="s">
        <v>851</v>
      </c>
      <c r="B8" s="1" t="s">
        <v>68</v>
      </c>
      <c r="C8" s="10" t="s">
        <v>852</v>
      </c>
    </row>
    <row r="9" spans="1:3" x14ac:dyDescent="0.2">
      <c r="A9" s="1" t="s">
        <v>810</v>
      </c>
      <c r="B9" s="1" t="s">
        <v>111</v>
      </c>
      <c r="C9" s="10" t="s">
        <v>811</v>
      </c>
    </row>
    <row r="10" spans="1:3" x14ac:dyDescent="0.2">
      <c r="A10" s="1" t="s">
        <v>816</v>
      </c>
      <c r="B10" s="1" t="s">
        <v>111</v>
      </c>
      <c r="C10" s="10" t="s">
        <v>817</v>
      </c>
    </row>
    <row r="11" spans="1:3" x14ac:dyDescent="0.2">
      <c r="A11" s="1" t="s">
        <v>772</v>
      </c>
      <c r="B11" s="1" t="s">
        <v>146</v>
      </c>
      <c r="C11" s="10" t="s">
        <v>773</v>
      </c>
    </row>
    <row r="12" spans="1:3" x14ac:dyDescent="0.2">
      <c r="A12" s="1" t="s">
        <v>780</v>
      </c>
      <c r="B12" s="1" t="s">
        <v>146</v>
      </c>
      <c r="C12" s="10" t="s">
        <v>781</v>
      </c>
    </row>
    <row r="13" spans="1:3" x14ac:dyDescent="0.2">
      <c r="A13" s="1" t="s">
        <v>839</v>
      </c>
      <c r="B13" s="1" t="s">
        <v>146</v>
      </c>
      <c r="C13" s="10" t="s">
        <v>840</v>
      </c>
    </row>
    <row r="14" spans="1:3" x14ac:dyDescent="0.2">
      <c r="A14" s="26" t="s">
        <v>749</v>
      </c>
      <c r="B14" s="26" t="s">
        <v>1</v>
      </c>
      <c r="C14" s="27" t="s">
        <v>3</v>
      </c>
    </row>
    <row r="15" spans="1:3" x14ac:dyDescent="0.2">
      <c r="A15" s="1" t="s">
        <v>778</v>
      </c>
      <c r="B15" s="1" t="s">
        <v>64</v>
      </c>
      <c r="C15" s="10" t="s">
        <v>779</v>
      </c>
    </row>
    <row r="16" spans="1:3" x14ac:dyDescent="0.2">
      <c r="A16" s="1" t="s">
        <v>786</v>
      </c>
      <c r="B16" s="1" t="s">
        <v>64</v>
      </c>
      <c r="C16" s="10" t="s">
        <v>787</v>
      </c>
    </row>
    <row r="17" spans="1:4" x14ac:dyDescent="0.2">
      <c r="A17" s="1" t="s">
        <v>792</v>
      </c>
      <c r="B17" s="1" t="s">
        <v>64</v>
      </c>
      <c r="C17" s="10" t="s">
        <v>793</v>
      </c>
    </row>
    <row r="18" spans="1:4" x14ac:dyDescent="0.2">
      <c r="A18" s="1" t="s">
        <v>818</v>
      </c>
      <c r="B18" s="1" t="s">
        <v>64</v>
      </c>
      <c r="C18" s="10" t="s">
        <v>819</v>
      </c>
    </row>
    <row r="19" spans="1:4" x14ac:dyDescent="0.2">
      <c r="A19" s="1" t="s">
        <v>825</v>
      </c>
      <c r="B19" s="1" t="s">
        <v>64</v>
      </c>
      <c r="C19" s="10" t="s">
        <v>826</v>
      </c>
      <c r="D19" s="28"/>
    </row>
    <row r="20" spans="1:4" x14ac:dyDescent="0.2">
      <c r="A20" s="1" t="s">
        <v>829</v>
      </c>
      <c r="B20" s="1" t="s">
        <v>64</v>
      </c>
      <c r="C20" s="10" t="s">
        <v>830</v>
      </c>
    </row>
    <row r="21" spans="1:4" x14ac:dyDescent="0.2">
      <c r="A21" s="1" t="s">
        <v>863</v>
      </c>
      <c r="B21" s="1" t="s">
        <v>64</v>
      </c>
      <c r="C21" s="10" t="s">
        <v>864</v>
      </c>
      <c r="D21" s="28"/>
    </row>
    <row r="22" spans="1:4" x14ac:dyDescent="0.2">
      <c r="A22" s="1" t="s">
        <v>831</v>
      </c>
      <c r="B22" s="1" t="s">
        <v>104</v>
      </c>
      <c r="C22" s="10" t="s">
        <v>832</v>
      </c>
    </row>
    <row r="23" spans="1:4" x14ac:dyDescent="0.2">
      <c r="A23" s="1" t="s">
        <v>885</v>
      </c>
      <c r="B23" s="1" t="s">
        <v>104</v>
      </c>
      <c r="C23" s="10" t="s">
        <v>886</v>
      </c>
    </row>
    <row r="24" spans="1:4" x14ac:dyDescent="0.2">
      <c r="A24" s="1" t="s">
        <v>812</v>
      </c>
      <c r="B24" s="1" t="s">
        <v>157</v>
      </c>
      <c r="C24" s="10" t="s">
        <v>813</v>
      </c>
    </row>
    <row r="25" spans="1:4" x14ac:dyDescent="0.2">
      <c r="A25" s="1" t="s">
        <v>837</v>
      </c>
      <c r="B25" s="1" t="s">
        <v>157</v>
      </c>
      <c r="C25" s="10" t="s">
        <v>838</v>
      </c>
      <c r="D25" s="28"/>
    </row>
    <row r="26" spans="1:4" x14ac:dyDescent="0.2">
      <c r="A26" s="1" t="s">
        <v>847</v>
      </c>
      <c r="B26" s="1" t="s">
        <v>157</v>
      </c>
      <c r="C26" s="10" t="s">
        <v>848</v>
      </c>
    </row>
    <row r="27" spans="1:4" x14ac:dyDescent="0.2">
      <c r="A27" s="1" t="s">
        <v>766</v>
      </c>
      <c r="B27" s="1" t="s">
        <v>43</v>
      </c>
      <c r="C27" s="10" t="s">
        <v>767</v>
      </c>
    </row>
    <row r="28" spans="1:4" x14ac:dyDescent="0.2">
      <c r="A28" s="1" t="s">
        <v>841</v>
      </c>
      <c r="B28" s="1" t="s">
        <v>43</v>
      </c>
      <c r="C28" s="10" t="s">
        <v>842</v>
      </c>
    </row>
    <row r="29" spans="1:4" x14ac:dyDescent="0.2">
      <c r="A29" s="1" t="s">
        <v>865</v>
      </c>
      <c r="B29" s="1" t="s">
        <v>43</v>
      </c>
      <c r="C29" s="10" t="s">
        <v>866</v>
      </c>
    </row>
    <row r="30" spans="1:4" x14ac:dyDescent="0.2">
      <c r="A30" s="1" t="s">
        <v>756</v>
      </c>
      <c r="B30" s="1" t="s">
        <v>74</v>
      </c>
      <c r="C30" s="10" t="s">
        <v>757</v>
      </c>
    </row>
    <row r="31" spans="1:4" x14ac:dyDescent="0.2">
      <c r="A31" s="1" t="s">
        <v>762</v>
      </c>
      <c r="B31" s="1" t="s">
        <v>74</v>
      </c>
      <c r="C31" s="10" t="s">
        <v>763</v>
      </c>
    </row>
    <row r="32" spans="1:4" x14ac:dyDescent="0.2">
      <c r="A32" s="1" t="s">
        <v>796</v>
      </c>
      <c r="B32" s="1" t="s">
        <v>74</v>
      </c>
      <c r="C32" s="10" t="s">
        <v>797</v>
      </c>
    </row>
    <row r="33" spans="1:4" x14ac:dyDescent="0.2">
      <c r="A33" s="1" t="s">
        <v>820</v>
      </c>
      <c r="B33" s="1" t="s">
        <v>74</v>
      </c>
      <c r="C33" s="10" t="s">
        <v>821</v>
      </c>
      <c r="D33" s="28"/>
    </row>
    <row r="34" spans="1:4" x14ac:dyDescent="0.2">
      <c r="A34" s="1" t="s">
        <v>855</v>
      </c>
      <c r="B34" s="1" t="s">
        <v>74</v>
      </c>
      <c r="C34" s="10" t="s">
        <v>856</v>
      </c>
      <c r="D34" s="28"/>
    </row>
    <row r="35" spans="1:4" x14ac:dyDescent="0.2">
      <c r="A35" s="1" t="s">
        <v>879</v>
      </c>
      <c r="B35" s="1" t="s">
        <v>74</v>
      </c>
      <c r="C35" s="10" t="s">
        <v>880</v>
      </c>
    </row>
    <row r="36" spans="1:4" x14ac:dyDescent="0.2">
      <c r="A36" s="1" t="s">
        <v>887</v>
      </c>
      <c r="B36" s="1" t="s">
        <v>74</v>
      </c>
      <c r="C36" s="10" t="s">
        <v>888</v>
      </c>
      <c r="D36" s="28"/>
    </row>
    <row r="37" spans="1:4" x14ac:dyDescent="0.2">
      <c r="A37" s="1" t="s">
        <v>776</v>
      </c>
      <c r="B37" s="1" t="s">
        <v>21</v>
      </c>
      <c r="C37" s="10" t="s">
        <v>777</v>
      </c>
    </row>
    <row r="38" spans="1:4" x14ac:dyDescent="0.2">
      <c r="A38" s="1" t="s">
        <v>788</v>
      </c>
      <c r="B38" s="1" t="s">
        <v>21</v>
      </c>
      <c r="C38" s="10" t="s">
        <v>789</v>
      </c>
    </row>
    <row r="39" spans="1:4" x14ac:dyDescent="0.2">
      <c r="A39" s="1" t="s">
        <v>802</v>
      </c>
      <c r="B39" s="1" t="s">
        <v>21</v>
      </c>
      <c r="C39" s="10" t="s">
        <v>803</v>
      </c>
    </row>
    <row r="40" spans="1:4" x14ac:dyDescent="0.2">
      <c r="A40" s="1" t="s">
        <v>822</v>
      </c>
      <c r="B40" s="1" t="s">
        <v>21</v>
      </c>
      <c r="C40" s="10" t="s">
        <v>821</v>
      </c>
    </row>
    <row r="41" spans="1:4" x14ac:dyDescent="0.2">
      <c r="A41" s="1" t="s">
        <v>873</v>
      </c>
      <c r="B41" s="1" t="s">
        <v>21</v>
      </c>
      <c r="C41" s="10" t="s">
        <v>874</v>
      </c>
    </row>
    <row r="42" spans="1:4" x14ac:dyDescent="0.2">
      <c r="A42" s="1" t="s">
        <v>861</v>
      </c>
      <c r="B42" s="1" t="s">
        <v>16</v>
      </c>
      <c r="C42" s="10" t="s">
        <v>862</v>
      </c>
    </row>
    <row r="43" spans="1:4" x14ac:dyDescent="0.2">
      <c r="A43" s="1" t="s">
        <v>877</v>
      </c>
      <c r="B43" s="1" t="s">
        <v>16</v>
      </c>
      <c r="C43" s="10" t="s">
        <v>878</v>
      </c>
    </row>
    <row r="44" spans="1:4" x14ac:dyDescent="0.2">
      <c r="A44" s="1" t="s">
        <v>889</v>
      </c>
      <c r="B44" s="1" t="s">
        <v>16</v>
      </c>
      <c r="C44" s="10" t="s">
        <v>890</v>
      </c>
      <c r="D44" s="28"/>
    </row>
    <row r="45" spans="1:4" x14ac:dyDescent="0.2">
      <c r="A45" s="1" t="s">
        <v>758</v>
      </c>
      <c r="B45" s="1" t="s">
        <v>58</v>
      </c>
      <c r="C45" s="10" t="s">
        <v>759</v>
      </c>
    </row>
    <row r="46" spans="1:4" x14ac:dyDescent="0.2">
      <c r="A46" s="1" t="s">
        <v>774</v>
      </c>
      <c r="B46" s="1" t="s">
        <v>58</v>
      </c>
      <c r="C46" s="10" t="s">
        <v>775</v>
      </c>
      <c r="D46" s="28"/>
    </row>
    <row r="47" spans="1:4" ht="16" x14ac:dyDescent="0.2">
      <c r="A47" s="1" t="s">
        <v>798</v>
      </c>
      <c r="B47" s="1" t="s">
        <v>58</v>
      </c>
      <c r="C47" s="10" t="s">
        <v>799</v>
      </c>
      <c r="D47" s="28"/>
    </row>
    <row r="48" spans="1:4" x14ac:dyDescent="0.2">
      <c r="A48" s="1" t="s">
        <v>790</v>
      </c>
      <c r="B48" s="1" t="s">
        <v>242</v>
      </c>
      <c r="C48" s="10" t="s">
        <v>791</v>
      </c>
    </row>
    <row r="49" spans="1:4" x14ac:dyDescent="0.2">
      <c r="A49" s="1" t="s">
        <v>814</v>
      </c>
      <c r="B49" s="1" t="s">
        <v>242</v>
      </c>
      <c r="C49" s="10" t="s">
        <v>815</v>
      </c>
    </row>
    <row r="50" spans="1:4" x14ac:dyDescent="0.2">
      <c r="A50" s="1" t="s">
        <v>833</v>
      </c>
      <c r="B50" s="1" t="s">
        <v>242</v>
      </c>
      <c r="C50" s="10" t="s">
        <v>834</v>
      </c>
    </row>
    <row r="51" spans="1:4" x14ac:dyDescent="0.2">
      <c r="A51" s="1" t="s">
        <v>760</v>
      </c>
      <c r="B51" s="1" t="s">
        <v>61</v>
      </c>
      <c r="C51" s="10" t="s">
        <v>761</v>
      </c>
    </row>
    <row r="52" spans="1:4" x14ac:dyDescent="0.2">
      <c r="A52" s="1" t="s">
        <v>869</v>
      </c>
      <c r="B52" s="1" t="s">
        <v>61</v>
      </c>
      <c r="C52" s="10" t="s">
        <v>870</v>
      </c>
    </row>
    <row r="53" spans="1:4" x14ac:dyDescent="0.2">
      <c r="A53" s="1" t="s">
        <v>883</v>
      </c>
      <c r="B53" s="1" t="s">
        <v>61</v>
      </c>
      <c r="C53" s="10" t="s">
        <v>884</v>
      </c>
    </row>
    <row r="54" spans="1:4" x14ac:dyDescent="0.2">
      <c r="A54" s="1" t="s">
        <v>784</v>
      </c>
      <c r="B54" s="1" t="s">
        <v>71</v>
      </c>
      <c r="C54" s="10" t="s">
        <v>785</v>
      </c>
      <c r="D54" s="28"/>
    </row>
    <row r="55" spans="1:4" x14ac:dyDescent="0.2">
      <c r="A55" s="1" t="s">
        <v>843</v>
      </c>
      <c r="B55" s="1" t="s">
        <v>71</v>
      </c>
      <c r="C55" s="10" t="s">
        <v>844</v>
      </c>
    </row>
    <row r="56" spans="1:4" x14ac:dyDescent="0.2">
      <c r="A56" s="1" t="s">
        <v>849</v>
      </c>
      <c r="B56" s="1" t="s">
        <v>71</v>
      </c>
      <c r="C56" s="10" t="s">
        <v>850</v>
      </c>
    </row>
    <row r="57" spans="1:4" x14ac:dyDescent="0.2">
      <c r="A57" s="1" t="s">
        <v>770</v>
      </c>
      <c r="B57" s="1" t="s">
        <v>32</v>
      </c>
      <c r="C57" s="10" t="s">
        <v>771</v>
      </c>
      <c r="D57" s="28"/>
    </row>
    <row r="58" spans="1:4" x14ac:dyDescent="0.2">
      <c r="A58" s="1" t="s">
        <v>823</v>
      </c>
      <c r="B58" s="1" t="s">
        <v>32</v>
      </c>
      <c r="C58" s="10" t="s">
        <v>824</v>
      </c>
    </row>
    <row r="59" spans="1:4" x14ac:dyDescent="0.2">
      <c r="A59" s="1" t="s">
        <v>893</v>
      </c>
      <c r="B59" s="1" t="s">
        <v>32</v>
      </c>
      <c r="C59" s="10" t="s">
        <v>894</v>
      </c>
    </row>
    <row r="60" spans="1:4" x14ac:dyDescent="0.2">
      <c r="A60" s="1" t="s">
        <v>853</v>
      </c>
      <c r="B60" s="1" t="s">
        <v>52</v>
      </c>
      <c r="C60" s="10" t="s">
        <v>854</v>
      </c>
    </row>
    <row r="61" spans="1:4" x14ac:dyDescent="0.2">
      <c r="A61" s="1" t="s">
        <v>859</v>
      </c>
      <c r="B61" s="1" t="s">
        <v>52</v>
      </c>
      <c r="C61" s="10" t="s">
        <v>860</v>
      </c>
    </row>
    <row r="62" spans="1:4" x14ac:dyDescent="0.2">
      <c r="A62" s="1" t="s">
        <v>895</v>
      </c>
      <c r="B62" s="1" t="s">
        <v>52</v>
      </c>
      <c r="C62" s="10" t="s">
        <v>896</v>
      </c>
      <c r="D62" s="28"/>
    </row>
    <row r="63" spans="1:4" x14ac:dyDescent="0.2">
      <c r="A63" s="1" t="s">
        <v>804</v>
      </c>
      <c r="B63" s="1" t="s">
        <v>40</v>
      </c>
      <c r="C63" s="10" t="s">
        <v>805</v>
      </c>
    </row>
    <row r="64" spans="1:4" x14ac:dyDescent="0.2">
      <c r="A64" s="1" t="s">
        <v>871</v>
      </c>
      <c r="B64" s="1" t="s">
        <v>40</v>
      </c>
      <c r="C64" s="10" t="s">
        <v>872</v>
      </c>
    </row>
    <row r="65" spans="1:4" x14ac:dyDescent="0.2">
      <c r="A65" s="1" t="s">
        <v>875</v>
      </c>
      <c r="B65" s="1" t="s">
        <v>40</v>
      </c>
      <c r="C65" s="10" t="s">
        <v>876</v>
      </c>
      <c r="D65" s="28"/>
    </row>
    <row r="66" spans="1:4" x14ac:dyDescent="0.2">
      <c r="A66" s="1" t="s">
        <v>881</v>
      </c>
      <c r="B66" s="1" t="s">
        <v>40</v>
      </c>
      <c r="C66" s="10" t="s">
        <v>882</v>
      </c>
      <c r="D66" s="28"/>
    </row>
    <row r="67" spans="1:4" x14ac:dyDescent="0.2">
      <c r="A67" s="1" t="s">
        <v>764</v>
      </c>
      <c r="B67" s="1" t="s">
        <v>173</v>
      </c>
      <c r="C67" s="10" t="s">
        <v>765</v>
      </c>
      <c r="D67" s="28"/>
    </row>
    <row r="68" spans="1:4" x14ac:dyDescent="0.2">
      <c r="A68" s="1" t="s">
        <v>794</v>
      </c>
      <c r="B68" s="1" t="s">
        <v>173</v>
      </c>
      <c r="C68" s="10" t="s">
        <v>795</v>
      </c>
    </row>
    <row r="69" spans="1:4" x14ac:dyDescent="0.2">
      <c r="A69" s="1" t="s">
        <v>806</v>
      </c>
      <c r="B69" s="1" t="s">
        <v>173</v>
      </c>
      <c r="C69" s="10" t="s">
        <v>807</v>
      </c>
      <c r="D69" s="28"/>
    </row>
    <row r="70" spans="1:4" x14ac:dyDescent="0.2">
      <c r="A70" s="1" t="s">
        <v>835</v>
      </c>
      <c r="B70" s="1" t="s">
        <v>173</v>
      </c>
      <c r="C70" s="10" t="s">
        <v>836</v>
      </c>
    </row>
    <row r="71" spans="1:4" x14ac:dyDescent="0.2">
      <c r="A71" s="1" t="s">
        <v>845</v>
      </c>
      <c r="B71" s="1" t="s">
        <v>173</v>
      </c>
      <c r="C71" s="10" t="s">
        <v>846</v>
      </c>
    </row>
    <row r="72" spans="1:4" x14ac:dyDescent="0.2">
      <c r="A72" s="1" t="s">
        <v>857</v>
      </c>
      <c r="B72" s="1" t="s">
        <v>173</v>
      </c>
      <c r="C72" s="10" t="s">
        <v>858</v>
      </c>
    </row>
    <row r="73" spans="1:4" x14ac:dyDescent="0.2">
      <c r="A73" s="1" t="s">
        <v>867</v>
      </c>
      <c r="B73" s="1" t="s">
        <v>173</v>
      </c>
      <c r="C73" s="10" t="s">
        <v>868</v>
      </c>
    </row>
    <row r="74" spans="1:4" x14ac:dyDescent="0.2">
      <c r="A74" s="1" t="s">
        <v>891</v>
      </c>
      <c r="B74" s="1" t="s">
        <v>173</v>
      </c>
      <c r="C74" s="10" t="s">
        <v>892</v>
      </c>
      <c r="D74" s="28"/>
    </row>
  </sheetData>
  <sortState xmlns:xlrd2="http://schemas.microsoft.com/office/spreadsheetml/2017/richdata2" ref="A2:C74">
    <sortCondition ref="B2:B74"/>
  </sortState>
  <printOptions gridLines="1" gridLinesSet="0"/>
  <pageMargins left="0.75" right="0.75" top="1" bottom="1" header="0.5" footer="0.5"/>
  <pageSetup orientation="portrait" horizontalDpi="4294967292" verticalDpi="300" r:id="rId1"/>
  <headerFooter alignWithMargins="0">
    <oddHeader>&amp;A</oddHeader>
    <oddFooter>Page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53099-F39E-47E2-B230-2DAF7769BB6A}">
  <sheetPr codeName="Sheet3"/>
  <dimension ref="A1:J19"/>
  <sheetViews>
    <sheetView workbookViewId="0">
      <selection activeCell="E25" sqref="E25"/>
    </sheetView>
  </sheetViews>
  <sheetFormatPr baseColWidth="10" defaultColWidth="8.83203125" defaultRowHeight="15" x14ac:dyDescent="0.2"/>
  <cols>
    <col min="1" max="1" width="16.5" bestFit="1" customWidth="1"/>
    <col min="2" max="2" width="13.1640625" bestFit="1" customWidth="1"/>
    <col min="3" max="3" width="12.33203125" bestFit="1" customWidth="1"/>
    <col min="4" max="4" width="16.5" bestFit="1" customWidth="1"/>
    <col min="5" max="5" width="13.33203125" bestFit="1" customWidth="1"/>
  </cols>
  <sheetData>
    <row r="1" spans="1:10" x14ac:dyDescent="0.2">
      <c r="C1" s="63" t="s">
        <v>910</v>
      </c>
      <c r="D1" s="63"/>
      <c r="E1" s="63"/>
    </row>
    <row r="2" spans="1:10" x14ac:dyDescent="0.2">
      <c r="C2" s="30" t="s">
        <v>900</v>
      </c>
      <c r="D2" s="30" t="s">
        <v>898</v>
      </c>
      <c r="E2" s="30" t="s">
        <v>899</v>
      </c>
    </row>
    <row r="3" spans="1:10" x14ac:dyDescent="0.2">
      <c r="A3" s="30" t="s">
        <v>897</v>
      </c>
    </row>
    <row r="4" spans="1:10" x14ac:dyDescent="0.2">
      <c r="A4" t="s">
        <v>901</v>
      </c>
      <c r="C4" t="s">
        <v>902</v>
      </c>
      <c r="D4" t="s">
        <v>903</v>
      </c>
      <c r="E4" t="s">
        <v>904</v>
      </c>
    </row>
    <row r="5" spans="1:10" x14ac:dyDescent="0.2">
      <c r="A5" t="s">
        <v>905</v>
      </c>
      <c r="C5" t="s">
        <v>906</v>
      </c>
      <c r="D5" t="s">
        <v>907</v>
      </c>
      <c r="E5" t="s">
        <v>908</v>
      </c>
    </row>
    <row r="6" spans="1:10" x14ac:dyDescent="0.2">
      <c r="A6" t="s">
        <v>909</v>
      </c>
      <c r="C6">
        <v>200</v>
      </c>
      <c r="D6">
        <v>100</v>
      </c>
      <c r="E6">
        <v>350</v>
      </c>
    </row>
    <row r="8" spans="1:10" x14ac:dyDescent="0.2">
      <c r="A8" s="30"/>
      <c r="B8" s="30"/>
      <c r="C8" s="30"/>
      <c r="D8" s="30" t="s">
        <v>897</v>
      </c>
      <c r="E8" s="30" t="s">
        <v>1732</v>
      </c>
      <c r="F8" s="30" t="s">
        <v>1733</v>
      </c>
      <c r="H8" s="30"/>
      <c r="I8" s="30"/>
      <c r="J8" s="30"/>
    </row>
    <row r="9" spans="1:10" x14ac:dyDescent="0.2">
      <c r="D9" t="s">
        <v>901</v>
      </c>
      <c r="E9" t="s">
        <v>1734</v>
      </c>
      <c r="F9" t="s">
        <v>902</v>
      </c>
    </row>
    <row r="10" spans="1:10" x14ac:dyDescent="0.2">
      <c r="E10" t="s">
        <v>1735</v>
      </c>
      <c r="F10" t="s">
        <v>903</v>
      </c>
    </row>
    <row r="11" spans="1:10" x14ac:dyDescent="0.2">
      <c r="E11" t="s">
        <v>1736</v>
      </c>
      <c r="F11" t="s">
        <v>904</v>
      </c>
    </row>
    <row r="13" spans="1:10" x14ac:dyDescent="0.2">
      <c r="D13" t="s">
        <v>905</v>
      </c>
      <c r="E13" t="s">
        <v>1734</v>
      </c>
      <c r="F13" t="s">
        <v>906</v>
      </c>
    </row>
    <row r="14" spans="1:10" x14ac:dyDescent="0.2">
      <c r="E14" t="s">
        <v>1735</v>
      </c>
      <c r="F14" t="s">
        <v>907</v>
      </c>
    </row>
    <row r="15" spans="1:10" x14ac:dyDescent="0.2">
      <c r="E15" t="s">
        <v>1736</v>
      </c>
      <c r="F15" t="s">
        <v>908</v>
      </c>
    </row>
    <row r="17" spans="4:6" x14ac:dyDescent="0.2">
      <c r="D17" t="s">
        <v>909</v>
      </c>
      <c r="E17" t="s">
        <v>1734</v>
      </c>
      <c r="F17">
        <v>200</v>
      </c>
    </row>
    <row r="18" spans="4:6" x14ac:dyDescent="0.2">
      <c r="E18" t="s">
        <v>1735</v>
      </c>
      <c r="F18">
        <v>100</v>
      </c>
    </row>
    <row r="19" spans="4:6" x14ac:dyDescent="0.2">
      <c r="E19" t="s">
        <v>1736</v>
      </c>
      <c r="F19">
        <v>350</v>
      </c>
    </row>
  </sheetData>
  <mergeCells count="1">
    <mergeCell ref="C1:E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F2C14-7C0B-4793-8A6F-434DA494AB47}">
  <sheetPr codeName="Sheet6">
    <tabColor indexed="11"/>
  </sheetPr>
  <dimension ref="A1:P33"/>
  <sheetViews>
    <sheetView zoomScale="130" zoomScaleNormal="130" zoomScalePageLayoutView="130" workbookViewId="0">
      <selection activeCell="D23" sqref="D23"/>
    </sheetView>
  </sheetViews>
  <sheetFormatPr baseColWidth="10" defaultColWidth="9.1640625" defaultRowHeight="14" x14ac:dyDescent="0.2"/>
  <cols>
    <col min="1" max="1" width="19.5" style="31" bestFit="1" customWidth="1"/>
    <col min="2" max="7" width="9.5" style="31" bestFit="1" customWidth="1"/>
    <col min="8" max="8" width="11.1640625" style="31" bestFit="1" customWidth="1"/>
    <col min="9" max="9" width="9.5" style="31" bestFit="1" customWidth="1"/>
    <col min="10" max="12" width="18.33203125" style="31" customWidth="1"/>
    <col min="13" max="16384" width="9.1640625" style="31"/>
  </cols>
  <sheetData>
    <row r="1" spans="1:16" ht="15" x14ac:dyDescent="0.2">
      <c r="A1" s="64" t="s">
        <v>911</v>
      </c>
      <c r="B1" s="64"/>
      <c r="C1" s="64"/>
      <c r="D1" s="64"/>
      <c r="E1" s="64"/>
      <c r="F1" s="64"/>
      <c r="G1" s="64"/>
      <c r="H1" s="64"/>
      <c r="I1" s="64"/>
      <c r="K1" s="32"/>
    </row>
    <row r="2" spans="1:16" s="1" customFormat="1" ht="15" x14ac:dyDescent="0.2">
      <c r="B2" s="33" t="s">
        <v>18</v>
      </c>
      <c r="C2" s="33" t="s">
        <v>23</v>
      </c>
      <c r="D2" s="33" t="s">
        <v>26</v>
      </c>
      <c r="E2" s="33" t="s">
        <v>29</v>
      </c>
      <c r="F2" s="33" t="s">
        <v>34</v>
      </c>
      <c r="G2" s="33" t="s">
        <v>37</v>
      </c>
      <c r="H2" s="33" t="s">
        <v>912</v>
      </c>
      <c r="I2" s="33" t="s">
        <v>913</v>
      </c>
      <c r="K2" s="34"/>
    </row>
    <row r="3" spans="1:16" s="1" customFormat="1" ht="15" x14ac:dyDescent="0.2">
      <c r="A3" s="35" t="s">
        <v>914</v>
      </c>
      <c r="B3" s="36">
        <v>120</v>
      </c>
      <c r="C3" s="36">
        <v>180</v>
      </c>
      <c r="D3" s="36">
        <v>250</v>
      </c>
      <c r="E3" s="36">
        <v>240</v>
      </c>
      <c r="F3" s="36">
        <v>300</v>
      </c>
      <c r="G3" s="36">
        <v>450</v>
      </c>
      <c r="H3" s="58">
        <v>1540</v>
      </c>
      <c r="I3" s="60">
        <v>256.66666666666669</v>
      </c>
      <c r="P3" s="1">
        <v>2</v>
      </c>
    </row>
    <row r="4" spans="1:16" s="1" customFormat="1" ht="15" x14ac:dyDescent="0.2">
      <c r="A4" s="35" t="s">
        <v>915</v>
      </c>
      <c r="B4" s="37">
        <v>100</v>
      </c>
      <c r="C4" s="37">
        <v>130</v>
      </c>
      <c r="D4" s="37">
        <v>120</v>
      </c>
      <c r="E4" s="37">
        <v>220</v>
      </c>
      <c r="F4" s="37">
        <v>260</v>
      </c>
      <c r="G4" s="37">
        <v>350</v>
      </c>
      <c r="H4" s="59">
        <v>1180</v>
      </c>
      <c r="I4" s="60">
        <v>196.66666666666666</v>
      </c>
      <c r="K4" s="47"/>
    </row>
    <row r="5" spans="1:16" s="1" customFormat="1" ht="15" x14ac:dyDescent="0.2">
      <c r="A5" s="35" t="s">
        <v>916</v>
      </c>
      <c r="B5" s="37">
        <f t="shared" ref="B5:G5" si="0">B3-B4</f>
        <v>20</v>
      </c>
      <c r="C5" s="37">
        <f t="shared" si="0"/>
        <v>50</v>
      </c>
      <c r="D5" s="37">
        <f t="shared" si="0"/>
        <v>130</v>
      </c>
      <c r="E5" s="37">
        <f t="shared" si="0"/>
        <v>20</v>
      </c>
      <c r="F5" s="37">
        <f t="shared" si="0"/>
        <v>40</v>
      </c>
      <c r="G5" s="37">
        <f t="shared" si="0"/>
        <v>100</v>
      </c>
      <c r="H5" s="59">
        <v>360</v>
      </c>
      <c r="I5" s="60">
        <v>60</v>
      </c>
      <c r="K5" s="48"/>
    </row>
    <row r="6" spans="1:16" s="1" customFormat="1" ht="15" x14ac:dyDescent="0.2">
      <c r="A6" s="35" t="s">
        <v>917</v>
      </c>
      <c r="B6" s="61">
        <v>20</v>
      </c>
      <c r="C6" s="61">
        <v>70</v>
      </c>
      <c r="D6" s="61">
        <v>200</v>
      </c>
      <c r="E6" s="61">
        <v>220</v>
      </c>
      <c r="F6" s="61">
        <v>260</v>
      </c>
      <c r="G6" s="61">
        <v>360</v>
      </c>
      <c r="H6" s="37"/>
      <c r="I6" s="37"/>
    </row>
    <row r="7" spans="1:16" s="1" customFormat="1" ht="20.25" customHeight="1" x14ac:dyDescent="0.2">
      <c r="A7" s="35" t="s">
        <v>918</v>
      </c>
      <c r="B7" s="38"/>
      <c r="C7" s="38"/>
      <c r="D7" s="38"/>
      <c r="E7" s="38"/>
      <c r="F7" s="38"/>
      <c r="G7" s="38"/>
    </row>
    <row r="8" spans="1:16" s="1" customFormat="1" ht="15" x14ac:dyDescent="0.2">
      <c r="A8" s="35" t="s">
        <v>919</v>
      </c>
      <c r="C8" s="39">
        <f t="shared" ref="C8:G10" si="1">(C3-B3)/B3</f>
        <v>0.5</v>
      </c>
      <c r="D8" s="39">
        <f t="shared" si="1"/>
        <v>0.3888888888888889</v>
      </c>
      <c r="E8" s="39">
        <f t="shared" si="1"/>
        <v>-0.04</v>
      </c>
      <c r="F8" s="39">
        <f t="shared" si="1"/>
        <v>0.25</v>
      </c>
      <c r="G8" s="39">
        <f t="shared" si="1"/>
        <v>0.5</v>
      </c>
      <c r="H8" s="39"/>
      <c r="I8" s="51"/>
    </row>
    <row r="9" spans="1:16" s="1" customFormat="1" ht="15" x14ac:dyDescent="0.2">
      <c r="A9" s="35" t="s">
        <v>920</v>
      </c>
      <c r="C9" s="40">
        <f t="shared" si="1"/>
        <v>0.3</v>
      </c>
      <c r="D9" s="40">
        <f t="shared" si="1"/>
        <v>-7.6923076923076927E-2</v>
      </c>
      <c r="E9" s="40">
        <f t="shared" si="1"/>
        <v>0.83333333333333337</v>
      </c>
      <c r="F9" s="40">
        <f t="shared" si="1"/>
        <v>0.18181818181818182</v>
      </c>
      <c r="G9" s="40">
        <f t="shared" si="1"/>
        <v>0.34615384615384615</v>
      </c>
      <c r="H9" s="40"/>
      <c r="I9" s="51"/>
    </row>
    <row r="10" spans="1:16" s="1" customFormat="1" ht="15" x14ac:dyDescent="0.2">
      <c r="A10" s="35" t="s">
        <v>921</v>
      </c>
      <c r="C10" s="40">
        <f t="shared" si="1"/>
        <v>1.5</v>
      </c>
      <c r="D10" s="40">
        <f t="shared" si="1"/>
        <v>1.6</v>
      </c>
      <c r="E10" s="40">
        <f t="shared" si="1"/>
        <v>-0.84615384615384615</v>
      </c>
      <c r="F10" s="40">
        <f t="shared" si="1"/>
        <v>1</v>
      </c>
      <c r="G10" s="40">
        <f t="shared" si="1"/>
        <v>1.5</v>
      </c>
      <c r="H10" s="40"/>
      <c r="I10" s="51"/>
    </row>
    <row r="11" spans="1:16" s="1" customFormat="1" ht="15" x14ac:dyDescent="0.2"/>
    <row r="12" spans="1:16" s="1" customFormat="1" ht="15" x14ac:dyDescent="0.2">
      <c r="A12" s="35" t="s">
        <v>922</v>
      </c>
      <c r="B12" s="41">
        <f t="shared" ref="B12:H12" si="2">B3/B4</f>
        <v>1.2</v>
      </c>
      <c r="C12" s="41">
        <f t="shared" si="2"/>
        <v>1.3846153846153846</v>
      </c>
      <c r="D12" s="41">
        <f t="shared" si="2"/>
        <v>2.0833333333333335</v>
      </c>
      <c r="E12" s="41">
        <f t="shared" si="2"/>
        <v>1.0909090909090908</v>
      </c>
      <c r="F12" s="41">
        <f t="shared" si="2"/>
        <v>1.1538461538461537</v>
      </c>
      <c r="G12" s="41">
        <f t="shared" si="2"/>
        <v>1.2857142857142858</v>
      </c>
      <c r="H12" s="41">
        <f t="shared" si="2"/>
        <v>1.3050847457627119</v>
      </c>
    </row>
    <row r="13" spans="1:16" s="1" customFormat="1" ht="15" x14ac:dyDescent="0.2">
      <c r="A13" s="35" t="s">
        <v>923</v>
      </c>
      <c r="B13" s="41">
        <f t="shared" ref="B13:H13" si="3">B3/B5</f>
        <v>6</v>
      </c>
      <c r="C13" s="41">
        <f t="shared" si="3"/>
        <v>3.6</v>
      </c>
      <c r="D13" s="41">
        <f t="shared" si="3"/>
        <v>1.9230769230769231</v>
      </c>
      <c r="E13" s="41">
        <f t="shared" si="3"/>
        <v>12</v>
      </c>
      <c r="F13" s="41">
        <f t="shared" si="3"/>
        <v>7.5</v>
      </c>
      <c r="G13" s="41">
        <f t="shared" si="3"/>
        <v>4.5</v>
      </c>
      <c r="H13" s="41">
        <f t="shared" si="3"/>
        <v>4.2777777777777777</v>
      </c>
    </row>
    <row r="14" spans="1:16" s="1" customFormat="1" ht="15" x14ac:dyDescent="0.2">
      <c r="A14" s="35" t="s">
        <v>924</v>
      </c>
      <c r="B14" s="41">
        <f t="shared" ref="B14:H14" si="4">B4/B5</f>
        <v>5</v>
      </c>
      <c r="C14" s="41">
        <f t="shared" si="4"/>
        <v>2.6</v>
      </c>
      <c r="D14" s="41">
        <f t="shared" si="4"/>
        <v>0.92307692307692313</v>
      </c>
      <c r="E14" s="41">
        <f t="shared" si="4"/>
        <v>11</v>
      </c>
      <c r="F14" s="41">
        <f t="shared" si="4"/>
        <v>6.5</v>
      </c>
      <c r="G14" s="41">
        <f t="shared" si="4"/>
        <v>3.5</v>
      </c>
      <c r="H14" s="41">
        <f t="shared" si="4"/>
        <v>3.2777777777777777</v>
      </c>
    </row>
    <row r="15" spans="1:16" s="1" customFormat="1" ht="15" x14ac:dyDescent="0.2">
      <c r="A15" s="35"/>
      <c r="B15" s="41"/>
      <c r="C15" s="41"/>
      <c r="D15" s="41"/>
      <c r="E15" s="41"/>
      <c r="F15" s="41"/>
      <c r="G15" s="41"/>
      <c r="H15" s="41"/>
    </row>
    <row r="16" spans="1:16" s="1" customFormat="1" ht="15" x14ac:dyDescent="0.2">
      <c r="A16" s="35"/>
      <c r="B16" s="41"/>
      <c r="C16" s="41"/>
      <c r="D16" s="41"/>
      <c r="E16" s="41"/>
      <c r="F16" s="41"/>
      <c r="G16" s="41"/>
      <c r="H16" s="41"/>
    </row>
    <row r="17" spans="1:8" s="1" customFormat="1" ht="15" x14ac:dyDescent="0.2">
      <c r="B17" s="41"/>
      <c r="C17" s="41"/>
      <c r="D17" s="41"/>
      <c r="E17" s="41"/>
      <c r="F17" s="41"/>
      <c r="G17" s="41"/>
      <c r="H17" s="41"/>
    </row>
    <row r="18" spans="1:8" s="1" customFormat="1" ht="15" x14ac:dyDescent="0.2">
      <c r="B18" s="41"/>
      <c r="C18" s="41"/>
      <c r="D18" s="41"/>
      <c r="E18" s="41"/>
      <c r="F18" s="41"/>
      <c r="G18" s="41"/>
      <c r="H18" s="41"/>
    </row>
    <row r="19" spans="1:8" s="1" customFormat="1" ht="15" x14ac:dyDescent="0.2">
      <c r="A19" s="35"/>
      <c r="B19" s="41"/>
      <c r="C19" s="41"/>
      <c r="D19" s="41"/>
      <c r="E19" s="41"/>
      <c r="F19" s="41"/>
      <c r="G19" s="41"/>
      <c r="H19" s="41"/>
    </row>
    <row r="20" spans="1:8" s="1" customFormat="1" ht="15" x14ac:dyDescent="0.2">
      <c r="A20" s="35"/>
      <c r="B20" s="41"/>
      <c r="C20" s="41"/>
      <c r="D20" s="41"/>
      <c r="E20" s="41"/>
      <c r="F20" s="41"/>
      <c r="G20" s="41"/>
      <c r="H20" s="41"/>
    </row>
    <row r="21" spans="1:8" s="1" customFormat="1" ht="15" x14ac:dyDescent="0.2">
      <c r="A21" s="42"/>
      <c r="B21" s="41"/>
      <c r="C21" s="41"/>
      <c r="D21" s="41"/>
      <c r="E21" s="41"/>
      <c r="F21" s="41"/>
      <c r="G21" s="41"/>
      <c r="H21" s="41"/>
    </row>
    <row r="22" spans="1:8" s="1" customFormat="1" ht="15" x14ac:dyDescent="0.2">
      <c r="A22" s="35"/>
      <c r="B22" s="41"/>
      <c r="C22" s="41"/>
      <c r="D22" s="41"/>
      <c r="E22" s="41"/>
      <c r="F22" s="41"/>
      <c r="G22" s="41"/>
      <c r="H22" s="41"/>
    </row>
    <row r="23" spans="1:8" s="1" customFormat="1" ht="15" x14ac:dyDescent="0.2">
      <c r="A23" s="35"/>
      <c r="B23" s="41"/>
      <c r="C23" s="41"/>
      <c r="D23" s="41"/>
      <c r="E23" s="41"/>
      <c r="F23" s="41"/>
      <c r="G23" s="41"/>
      <c r="H23" s="41"/>
    </row>
    <row r="24" spans="1:8" s="1" customFormat="1" ht="15" x14ac:dyDescent="0.2">
      <c r="A24" s="35"/>
      <c r="B24" s="41"/>
      <c r="C24" s="41"/>
      <c r="D24" s="41"/>
      <c r="E24" s="41"/>
      <c r="F24" s="41"/>
      <c r="G24" s="41"/>
      <c r="H24" s="41"/>
    </row>
    <row r="25" spans="1:8" s="1" customFormat="1" ht="15" x14ac:dyDescent="0.2">
      <c r="A25" s="35"/>
      <c r="B25" s="41"/>
      <c r="C25" s="41"/>
      <c r="D25" s="41"/>
      <c r="E25" s="41"/>
      <c r="F25" s="41"/>
      <c r="G25" s="41"/>
      <c r="H25" s="41"/>
    </row>
    <row r="26" spans="1:8" s="1" customFormat="1" ht="15" x14ac:dyDescent="0.2">
      <c r="A26" s="35"/>
      <c r="B26" s="41"/>
      <c r="C26" s="41"/>
      <c r="D26" s="41"/>
      <c r="E26" s="41"/>
      <c r="F26" s="41"/>
      <c r="G26" s="41"/>
      <c r="H26" s="41"/>
    </row>
    <row r="27" spans="1:8" s="1" customFormat="1" ht="15" x14ac:dyDescent="0.2">
      <c r="A27" s="35"/>
      <c r="B27" s="41"/>
      <c r="C27" s="41"/>
      <c r="D27" s="41"/>
      <c r="E27" s="41"/>
      <c r="F27" s="41"/>
      <c r="G27" s="41"/>
      <c r="H27" s="41"/>
    </row>
    <row r="28" spans="1:8" s="1" customFormat="1" ht="15" x14ac:dyDescent="0.2">
      <c r="A28" s="35"/>
      <c r="B28" s="41"/>
      <c r="C28" s="41"/>
      <c r="D28" s="41"/>
      <c r="E28" s="41"/>
      <c r="F28" s="41"/>
      <c r="G28" s="41"/>
      <c r="H28" s="41"/>
    </row>
    <row r="29" spans="1:8" s="1" customFormat="1" ht="15" x14ac:dyDescent="0.2">
      <c r="A29" s="35"/>
      <c r="B29" s="41"/>
      <c r="C29" s="41"/>
      <c r="D29" s="41"/>
      <c r="E29" s="41"/>
      <c r="F29" s="41"/>
      <c r="G29" s="41"/>
      <c r="H29" s="41"/>
    </row>
    <row r="30" spans="1:8" s="1" customFormat="1" ht="15" x14ac:dyDescent="0.2">
      <c r="A30" s="35"/>
      <c r="B30" s="41"/>
      <c r="C30" s="41"/>
      <c r="D30" s="41"/>
      <c r="E30" s="41"/>
      <c r="F30" s="41"/>
      <c r="G30" s="41"/>
      <c r="H30" s="41"/>
    </row>
    <row r="31" spans="1:8" s="1" customFormat="1" ht="15" x14ac:dyDescent="0.2">
      <c r="A31" s="35"/>
      <c r="B31" s="41"/>
      <c r="C31" s="41"/>
      <c r="D31" s="41"/>
      <c r="E31" s="41"/>
      <c r="F31" s="41"/>
      <c r="G31" s="41"/>
      <c r="H31" s="41"/>
    </row>
    <row r="32" spans="1:8" s="1" customFormat="1" ht="15" x14ac:dyDescent="0.2">
      <c r="A32" s="35"/>
      <c r="B32" s="41"/>
      <c r="C32" s="41"/>
      <c r="D32" s="41"/>
      <c r="E32" s="41"/>
      <c r="F32" s="41"/>
      <c r="G32" s="41"/>
      <c r="H32" s="41"/>
    </row>
    <row r="33" spans="1:8" s="1" customFormat="1" ht="15" x14ac:dyDescent="0.2">
      <c r="A33" s="35"/>
      <c r="B33" s="41"/>
      <c r="C33" s="41"/>
      <c r="D33" s="41"/>
      <c r="E33" s="41"/>
      <c r="F33" s="41"/>
      <c r="G33" s="41"/>
      <c r="H33" s="41"/>
    </row>
  </sheetData>
  <mergeCells count="1">
    <mergeCell ref="A1:I1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15C22-990A-4205-8B0B-F36D8EA1D09E}">
  <sheetPr codeName="Sheet4"/>
  <dimension ref="A1:F1201"/>
  <sheetViews>
    <sheetView zoomScale="160" zoomScaleNormal="160" zoomScalePageLayoutView="160" workbookViewId="0">
      <selection activeCell="E6" sqref="E6"/>
    </sheetView>
  </sheetViews>
  <sheetFormatPr baseColWidth="10" defaultColWidth="15.6640625" defaultRowHeight="15" x14ac:dyDescent="0.2"/>
  <cols>
    <col min="1" max="1" width="33.83203125" style="1" customWidth="1"/>
    <col min="2" max="2" width="5.6640625" style="1" customWidth="1"/>
    <col min="3" max="3" width="15.6640625" style="1"/>
    <col min="4" max="4" width="19" style="1" bestFit="1" customWidth="1"/>
    <col min="5" max="6" width="37.1640625" style="1" bestFit="1" customWidth="1"/>
    <col min="7" max="16384" width="15.6640625" style="1"/>
  </cols>
  <sheetData>
    <row r="1" spans="1:6" x14ac:dyDescent="0.2">
      <c r="A1" s="43" t="s">
        <v>925</v>
      </c>
      <c r="D1" s="62" t="s">
        <v>749</v>
      </c>
      <c r="E1" s="62" t="s">
        <v>1737</v>
      </c>
      <c r="F1" s="62" t="s">
        <v>1738</v>
      </c>
    </row>
    <row r="2" spans="1:6" x14ac:dyDescent="0.2">
      <c r="A2" s="44" t="s">
        <v>926</v>
      </c>
      <c r="B2" s="45"/>
      <c r="D2" s="1" t="s">
        <v>926</v>
      </c>
      <c r="E2" s="1" t="s">
        <v>927</v>
      </c>
      <c r="F2" s="1" t="s">
        <v>927</v>
      </c>
    </row>
    <row r="3" spans="1:6" x14ac:dyDescent="0.2">
      <c r="A3" s="46" t="s">
        <v>927</v>
      </c>
      <c r="B3" s="45"/>
    </row>
    <row r="4" spans="1:6" x14ac:dyDescent="0.2">
      <c r="A4" s="46" t="s">
        <v>928</v>
      </c>
      <c r="B4" s="45"/>
    </row>
    <row r="5" spans="1:6" x14ac:dyDescent="0.2">
      <c r="A5" s="44" t="s">
        <v>929</v>
      </c>
      <c r="D5" s="1" t="s">
        <v>929</v>
      </c>
      <c r="E5" s="1" t="s">
        <v>930</v>
      </c>
      <c r="F5" s="1" t="s">
        <v>930</v>
      </c>
    </row>
    <row r="6" spans="1:6" x14ac:dyDescent="0.2">
      <c r="A6" s="46" t="s">
        <v>930</v>
      </c>
    </row>
    <row r="7" spans="1:6" x14ac:dyDescent="0.2">
      <c r="A7" s="46" t="s">
        <v>931</v>
      </c>
    </row>
    <row r="8" spans="1:6" x14ac:dyDescent="0.2">
      <c r="A8" s="44" t="s">
        <v>932</v>
      </c>
      <c r="D8" s="1" t="s">
        <v>932</v>
      </c>
      <c r="E8" s="1" t="s">
        <v>933</v>
      </c>
      <c r="F8" s="1" t="s">
        <v>933</v>
      </c>
    </row>
    <row r="9" spans="1:6" x14ac:dyDescent="0.2">
      <c r="A9" s="46" t="s">
        <v>933</v>
      </c>
    </row>
    <row r="10" spans="1:6" x14ac:dyDescent="0.2">
      <c r="A10" s="46" t="s">
        <v>934</v>
      </c>
    </row>
    <row r="11" spans="1:6" x14ac:dyDescent="0.2">
      <c r="A11" s="44" t="s">
        <v>935</v>
      </c>
      <c r="D11" s="1" t="s">
        <v>935</v>
      </c>
      <c r="E11" s="1" t="s">
        <v>936</v>
      </c>
      <c r="F11" s="1" t="s">
        <v>936</v>
      </c>
    </row>
    <row r="12" spans="1:6" x14ac:dyDescent="0.2">
      <c r="A12" s="46" t="s">
        <v>936</v>
      </c>
    </row>
    <row r="13" spans="1:6" x14ac:dyDescent="0.2">
      <c r="A13" s="46" t="s">
        <v>937</v>
      </c>
    </row>
    <row r="14" spans="1:6" x14ac:dyDescent="0.2">
      <c r="A14" s="44" t="s">
        <v>938</v>
      </c>
      <c r="D14" s="1" t="s">
        <v>938</v>
      </c>
      <c r="E14" s="1" t="s">
        <v>939</v>
      </c>
      <c r="F14" s="1" t="s">
        <v>939</v>
      </c>
    </row>
    <row r="15" spans="1:6" x14ac:dyDescent="0.2">
      <c r="A15" s="46" t="s">
        <v>939</v>
      </c>
    </row>
    <row r="16" spans="1:6" x14ac:dyDescent="0.2">
      <c r="A16" s="46" t="s">
        <v>940</v>
      </c>
    </row>
    <row r="17" spans="1:6" x14ac:dyDescent="0.2">
      <c r="A17" s="44" t="s">
        <v>941</v>
      </c>
      <c r="D17" s="1" t="s">
        <v>941</v>
      </c>
      <c r="E17" s="1" t="s">
        <v>942</v>
      </c>
      <c r="F17" s="1" t="s">
        <v>942</v>
      </c>
    </row>
    <row r="18" spans="1:6" x14ac:dyDescent="0.2">
      <c r="A18" s="46" t="s">
        <v>942</v>
      </c>
    </row>
    <row r="19" spans="1:6" x14ac:dyDescent="0.2">
      <c r="A19" s="46" t="s">
        <v>943</v>
      </c>
    </row>
    <row r="20" spans="1:6" x14ac:dyDescent="0.2">
      <c r="A20" s="44" t="s">
        <v>944</v>
      </c>
      <c r="D20" s="1" t="s">
        <v>944</v>
      </c>
      <c r="E20" s="1" t="s">
        <v>945</v>
      </c>
      <c r="F20" s="1" t="s">
        <v>945</v>
      </c>
    </row>
    <row r="21" spans="1:6" x14ac:dyDescent="0.2">
      <c r="A21" s="46" t="s">
        <v>945</v>
      </c>
    </row>
    <row r="22" spans="1:6" x14ac:dyDescent="0.2">
      <c r="A22" s="46" t="s">
        <v>946</v>
      </c>
    </row>
    <row r="23" spans="1:6" x14ac:dyDescent="0.2">
      <c r="A23" s="44" t="s">
        <v>947</v>
      </c>
      <c r="D23" s="1" t="s">
        <v>947</v>
      </c>
      <c r="E23" s="1" t="s">
        <v>948</v>
      </c>
      <c r="F23" s="1" t="s">
        <v>948</v>
      </c>
    </row>
    <row r="24" spans="1:6" x14ac:dyDescent="0.2">
      <c r="A24" s="46" t="s">
        <v>948</v>
      </c>
    </row>
    <row r="25" spans="1:6" x14ac:dyDescent="0.2">
      <c r="A25" s="46" t="s">
        <v>949</v>
      </c>
    </row>
    <row r="26" spans="1:6" x14ac:dyDescent="0.2">
      <c r="A26" s="44" t="s">
        <v>950</v>
      </c>
      <c r="D26" s="1" t="s">
        <v>950</v>
      </c>
      <c r="E26" s="1" t="s">
        <v>951</v>
      </c>
      <c r="F26" s="1" t="s">
        <v>951</v>
      </c>
    </row>
    <row r="27" spans="1:6" x14ac:dyDescent="0.2">
      <c r="A27" s="46" t="s">
        <v>951</v>
      </c>
    </row>
    <row r="28" spans="1:6" x14ac:dyDescent="0.2">
      <c r="A28" s="46" t="s">
        <v>937</v>
      </c>
    </row>
    <row r="29" spans="1:6" x14ac:dyDescent="0.2">
      <c r="A29" s="44" t="s">
        <v>952</v>
      </c>
      <c r="D29" s="1" t="s">
        <v>952</v>
      </c>
      <c r="E29" s="1" t="s">
        <v>953</v>
      </c>
      <c r="F29" s="1" t="s">
        <v>953</v>
      </c>
    </row>
    <row r="30" spans="1:6" x14ac:dyDescent="0.2">
      <c r="A30" s="46" t="s">
        <v>953</v>
      </c>
    </row>
    <row r="31" spans="1:6" x14ac:dyDescent="0.2">
      <c r="A31" s="46" t="s">
        <v>954</v>
      </c>
    </row>
    <row r="32" spans="1:6" x14ac:dyDescent="0.2">
      <c r="A32" s="44" t="s">
        <v>955</v>
      </c>
      <c r="D32" s="1" t="s">
        <v>955</v>
      </c>
      <c r="E32" s="1" t="s">
        <v>956</v>
      </c>
      <c r="F32" s="1" t="s">
        <v>956</v>
      </c>
    </row>
    <row r="33" spans="1:6" x14ac:dyDescent="0.2">
      <c r="A33" s="46" t="s">
        <v>956</v>
      </c>
    </row>
    <row r="34" spans="1:6" x14ac:dyDescent="0.2">
      <c r="A34" s="46" t="s">
        <v>957</v>
      </c>
    </row>
    <row r="35" spans="1:6" x14ac:dyDescent="0.2">
      <c r="A35" s="44" t="s">
        <v>958</v>
      </c>
      <c r="D35" s="1" t="s">
        <v>958</v>
      </c>
      <c r="E35" s="1" t="s">
        <v>959</v>
      </c>
      <c r="F35" s="1" t="s">
        <v>959</v>
      </c>
    </row>
    <row r="36" spans="1:6" x14ac:dyDescent="0.2">
      <c r="A36" s="46" t="s">
        <v>959</v>
      </c>
    </row>
    <row r="37" spans="1:6" x14ac:dyDescent="0.2">
      <c r="A37" s="46" t="s">
        <v>960</v>
      </c>
    </row>
    <row r="38" spans="1:6" x14ac:dyDescent="0.2">
      <c r="A38" s="44" t="s">
        <v>961</v>
      </c>
      <c r="D38" s="1" t="s">
        <v>961</v>
      </c>
      <c r="E38" s="1" t="s">
        <v>962</v>
      </c>
      <c r="F38" s="1" t="s">
        <v>962</v>
      </c>
    </row>
    <row r="39" spans="1:6" x14ac:dyDescent="0.2">
      <c r="A39" s="46" t="s">
        <v>962</v>
      </c>
    </row>
    <row r="40" spans="1:6" x14ac:dyDescent="0.2">
      <c r="A40" s="46" t="s">
        <v>963</v>
      </c>
    </row>
    <row r="41" spans="1:6" x14ac:dyDescent="0.2">
      <c r="A41" s="44" t="s">
        <v>964</v>
      </c>
      <c r="D41" s="1" t="s">
        <v>964</v>
      </c>
      <c r="E41" s="1" t="s">
        <v>965</v>
      </c>
      <c r="F41" s="1" t="s">
        <v>965</v>
      </c>
    </row>
    <row r="42" spans="1:6" x14ac:dyDescent="0.2">
      <c r="A42" s="46" t="s">
        <v>965</v>
      </c>
    </row>
    <row r="43" spans="1:6" x14ac:dyDescent="0.2">
      <c r="A43" s="46" t="s">
        <v>966</v>
      </c>
    </row>
    <row r="44" spans="1:6" x14ac:dyDescent="0.2">
      <c r="A44" s="44" t="s">
        <v>967</v>
      </c>
      <c r="D44" s="1" t="s">
        <v>967</v>
      </c>
      <c r="E44" s="1" t="s">
        <v>956</v>
      </c>
      <c r="F44" s="1" t="s">
        <v>956</v>
      </c>
    </row>
    <row r="45" spans="1:6" x14ac:dyDescent="0.2">
      <c r="A45" s="46" t="s">
        <v>956</v>
      </c>
    </row>
    <row r="46" spans="1:6" x14ac:dyDescent="0.2">
      <c r="A46" s="46" t="s">
        <v>968</v>
      </c>
    </row>
    <row r="47" spans="1:6" x14ac:dyDescent="0.2">
      <c r="A47" s="44" t="s">
        <v>969</v>
      </c>
      <c r="D47" s="1" t="s">
        <v>969</v>
      </c>
      <c r="E47" s="1" t="s">
        <v>970</v>
      </c>
      <c r="F47" s="1" t="s">
        <v>970</v>
      </c>
    </row>
    <row r="48" spans="1:6" x14ac:dyDescent="0.2">
      <c r="A48" s="46" t="s">
        <v>970</v>
      </c>
    </row>
    <row r="49" spans="1:6" x14ac:dyDescent="0.2">
      <c r="A49" s="46" t="s">
        <v>971</v>
      </c>
    </row>
    <row r="50" spans="1:6" x14ac:dyDescent="0.2">
      <c r="A50" s="44" t="s">
        <v>972</v>
      </c>
      <c r="D50" s="1" t="s">
        <v>972</v>
      </c>
      <c r="E50" s="1" t="s">
        <v>973</v>
      </c>
      <c r="F50" s="1" t="s">
        <v>973</v>
      </c>
    </row>
    <row r="51" spans="1:6" x14ac:dyDescent="0.2">
      <c r="A51" s="46" t="s">
        <v>973</v>
      </c>
    </row>
    <row r="52" spans="1:6" x14ac:dyDescent="0.2">
      <c r="A52" s="46" t="s">
        <v>974</v>
      </c>
    </row>
    <row r="53" spans="1:6" x14ac:dyDescent="0.2">
      <c r="A53" s="44" t="s">
        <v>975</v>
      </c>
      <c r="D53" s="1" t="s">
        <v>975</v>
      </c>
      <c r="E53" s="1" t="s">
        <v>927</v>
      </c>
      <c r="F53" s="1" t="s">
        <v>927</v>
      </c>
    </row>
    <row r="54" spans="1:6" x14ac:dyDescent="0.2">
      <c r="A54" s="46" t="s">
        <v>927</v>
      </c>
    </row>
    <row r="55" spans="1:6" x14ac:dyDescent="0.2">
      <c r="A55" s="46" t="s">
        <v>976</v>
      </c>
    </row>
    <row r="56" spans="1:6" x14ac:dyDescent="0.2">
      <c r="A56" s="44" t="s">
        <v>977</v>
      </c>
      <c r="D56" s="1" t="s">
        <v>977</v>
      </c>
      <c r="E56" s="1" t="s">
        <v>956</v>
      </c>
      <c r="F56" s="1" t="s">
        <v>956</v>
      </c>
    </row>
    <row r="57" spans="1:6" x14ac:dyDescent="0.2">
      <c r="A57" s="46" t="s">
        <v>956</v>
      </c>
    </row>
    <row r="58" spans="1:6" x14ac:dyDescent="0.2">
      <c r="A58" s="46" t="s">
        <v>978</v>
      </c>
    </row>
    <row r="59" spans="1:6" x14ac:dyDescent="0.2">
      <c r="A59" s="44" t="s">
        <v>979</v>
      </c>
      <c r="D59" s="1" t="s">
        <v>979</v>
      </c>
      <c r="E59" s="1" t="s">
        <v>980</v>
      </c>
      <c r="F59" s="1" t="s">
        <v>980</v>
      </c>
    </row>
    <row r="60" spans="1:6" x14ac:dyDescent="0.2">
      <c r="A60" s="46" t="s">
        <v>980</v>
      </c>
    </row>
    <row r="61" spans="1:6" x14ac:dyDescent="0.2">
      <c r="A61" s="46" t="s">
        <v>981</v>
      </c>
    </row>
    <row r="62" spans="1:6" x14ac:dyDescent="0.2">
      <c r="A62" s="44" t="s">
        <v>982</v>
      </c>
      <c r="D62" s="1" t="s">
        <v>982</v>
      </c>
      <c r="E62" s="1" t="s">
        <v>983</v>
      </c>
      <c r="F62" s="1" t="s">
        <v>983</v>
      </c>
    </row>
    <row r="63" spans="1:6" x14ac:dyDescent="0.2">
      <c r="A63" s="46" t="s">
        <v>983</v>
      </c>
    </row>
    <row r="64" spans="1:6" x14ac:dyDescent="0.2">
      <c r="A64" s="46" t="s">
        <v>984</v>
      </c>
    </row>
    <row r="65" spans="1:6" x14ac:dyDescent="0.2">
      <c r="A65" s="44" t="s">
        <v>985</v>
      </c>
      <c r="D65" s="1" t="s">
        <v>985</v>
      </c>
      <c r="E65" s="1" t="s">
        <v>956</v>
      </c>
      <c r="F65" s="1" t="s">
        <v>956</v>
      </c>
    </row>
    <row r="66" spans="1:6" x14ac:dyDescent="0.2">
      <c r="A66" s="46" t="s">
        <v>956</v>
      </c>
    </row>
    <row r="67" spans="1:6" x14ac:dyDescent="0.2">
      <c r="A67" s="46" t="s">
        <v>986</v>
      </c>
    </row>
    <row r="68" spans="1:6" x14ac:dyDescent="0.2">
      <c r="A68" s="44" t="s">
        <v>987</v>
      </c>
      <c r="D68" s="1" t="s">
        <v>987</v>
      </c>
      <c r="E68" s="1" t="s">
        <v>988</v>
      </c>
      <c r="F68" s="1" t="s">
        <v>988</v>
      </c>
    </row>
    <row r="69" spans="1:6" x14ac:dyDescent="0.2">
      <c r="A69" s="46" t="s">
        <v>988</v>
      </c>
    </row>
    <row r="70" spans="1:6" x14ac:dyDescent="0.2">
      <c r="A70" s="46" t="s">
        <v>989</v>
      </c>
    </row>
    <row r="71" spans="1:6" x14ac:dyDescent="0.2">
      <c r="A71" s="44" t="s">
        <v>990</v>
      </c>
      <c r="D71" s="1" t="s">
        <v>990</v>
      </c>
      <c r="E71" s="1" t="s">
        <v>991</v>
      </c>
      <c r="F71" s="1" t="s">
        <v>991</v>
      </c>
    </row>
    <row r="72" spans="1:6" x14ac:dyDescent="0.2">
      <c r="A72" s="46" t="s">
        <v>991</v>
      </c>
    </row>
    <row r="73" spans="1:6" x14ac:dyDescent="0.2">
      <c r="A73" s="46" t="s">
        <v>992</v>
      </c>
    </row>
    <row r="74" spans="1:6" x14ac:dyDescent="0.2">
      <c r="A74" s="44" t="s">
        <v>993</v>
      </c>
      <c r="D74" s="1" t="s">
        <v>993</v>
      </c>
      <c r="E74" s="1" t="s">
        <v>994</v>
      </c>
      <c r="F74" s="1" t="s">
        <v>994</v>
      </c>
    </row>
    <row r="75" spans="1:6" x14ac:dyDescent="0.2">
      <c r="A75" s="46" t="s">
        <v>994</v>
      </c>
    </row>
    <row r="76" spans="1:6" x14ac:dyDescent="0.2">
      <c r="A76" s="46" t="s">
        <v>995</v>
      </c>
    </row>
    <row r="77" spans="1:6" x14ac:dyDescent="0.2">
      <c r="A77" s="44" t="s">
        <v>996</v>
      </c>
      <c r="D77" s="1" t="s">
        <v>996</v>
      </c>
      <c r="E77" s="1" t="s">
        <v>970</v>
      </c>
      <c r="F77" s="1" t="s">
        <v>970</v>
      </c>
    </row>
    <row r="78" spans="1:6" x14ac:dyDescent="0.2">
      <c r="A78" s="46" t="s">
        <v>970</v>
      </c>
    </row>
    <row r="79" spans="1:6" x14ac:dyDescent="0.2">
      <c r="A79" s="46" t="s">
        <v>971</v>
      </c>
    </row>
    <row r="80" spans="1:6" x14ac:dyDescent="0.2">
      <c r="A80" s="44" t="s">
        <v>997</v>
      </c>
      <c r="D80" s="1" t="s">
        <v>997</v>
      </c>
      <c r="E80" s="1" t="s">
        <v>998</v>
      </c>
      <c r="F80" s="1" t="s">
        <v>998</v>
      </c>
    </row>
    <row r="81" spans="1:6" x14ac:dyDescent="0.2">
      <c r="A81" s="46" t="s">
        <v>998</v>
      </c>
    </row>
    <row r="82" spans="1:6" x14ac:dyDescent="0.2">
      <c r="A82" s="46" t="s">
        <v>999</v>
      </c>
    </row>
    <row r="83" spans="1:6" x14ac:dyDescent="0.2">
      <c r="A83" s="44" t="s">
        <v>1000</v>
      </c>
      <c r="D83" s="1" t="s">
        <v>1000</v>
      </c>
      <c r="E83" s="1" t="s">
        <v>927</v>
      </c>
      <c r="F83" s="1" t="s">
        <v>927</v>
      </c>
    </row>
    <row r="84" spans="1:6" x14ac:dyDescent="0.2">
      <c r="A84" s="46" t="s">
        <v>927</v>
      </c>
    </row>
    <row r="85" spans="1:6" x14ac:dyDescent="0.2">
      <c r="A85" s="46" t="s">
        <v>1001</v>
      </c>
    </row>
    <row r="86" spans="1:6" x14ac:dyDescent="0.2">
      <c r="A86" s="44" t="s">
        <v>1002</v>
      </c>
      <c r="D86" s="1" t="s">
        <v>1002</v>
      </c>
      <c r="E86" s="1" t="s">
        <v>1003</v>
      </c>
      <c r="F86" s="1" t="s">
        <v>1003</v>
      </c>
    </row>
    <row r="87" spans="1:6" x14ac:dyDescent="0.2">
      <c r="A87" s="46" t="s">
        <v>1003</v>
      </c>
    </row>
    <row r="88" spans="1:6" x14ac:dyDescent="0.2">
      <c r="A88" s="46" t="s">
        <v>1004</v>
      </c>
    </row>
    <row r="89" spans="1:6" x14ac:dyDescent="0.2">
      <c r="A89" s="44" t="s">
        <v>1005</v>
      </c>
      <c r="D89" s="1" t="s">
        <v>1005</v>
      </c>
      <c r="E89" s="1" t="s">
        <v>1006</v>
      </c>
      <c r="F89" s="1" t="s">
        <v>1006</v>
      </c>
    </row>
    <row r="90" spans="1:6" x14ac:dyDescent="0.2">
      <c r="A90" s="46" t="s">
        <v>1006</v>
      </c>
    </row>
    <row r="91" spans="1:6" x14ac:dyDescent="0.2">
      <c r="A91" s="46" t="s">
        <v>1007</v>
      </c>
    </row>
    <row r="92" spans="1:6" x14ac:dyDescent="0.2">
      <c r="A92" s="44" t="s">
        <v>1008</v>
      </c>
      <c r="D92" s="1" t="s">
        <v>1008</v>
      </c>
      <c r="E92" s="1" t="s">
        <v>956</v>
      </c>
      <c r="F92" s="1" t="s">
        <v>956</v>
      </c>
    </row>
    <row r="93" spans="1:6" x14ac:dyDescent="0.2">
      <c r="A93" s="46" t="s">
        <v>956</v>
      </c>
    </row>
    <row r="94" spans="1:6" x14ac:dyDescent="0.2">
      <c r="A94" s="46" t="s">
        <v>1009</v>
      </c>
    </row>
    <row r="95" spans="1:6" x14ac:dyDescent="0.2">
      <c r="A95" s="44" t="s">
        <v>1010</v>
      </c>
      <c r="D95" s="1" t="s">
        <v>1010</v>
      </c>
      <c r="E95" s="1" t="s">
        <v>1011</v>
      </c>
      <c r="F95" s="1" t="s">
        <v>1011</v>
      </c>
    </row>
    <row r="96" spans="1:6" x14ac:dyDescent="0.2">
      <c r="A96" s="46" t="s">
        <v>1011</v>
      </c>
    </row>
    <row r="97" spans="1:6" x14ac:dyDescent="0.2">
      <c r="A97" s="46" t="s">
        <v>1012</v>
      </c>
    </row>
    <row r="98" spans="1:6" x14ac:dyDescent="0.2">
      <c r="A98" s="44" t="s">
        <v>1013</v>
      </c>
      <c r="D98" s="1" t="s">
        <v>1013</v>
      </c>
      <c r="E98" s="1" t="s">
        <v>1014</v>
      </c>
      <c r="F98" s="1" t="s">
        <v>1014</v>
      </c>
    </row>
    <row r="99" spans="1:6" x14ac:dyDescent="0.2">
      <c r="A99" s="46" t="s">
        <v>1014</v>
      </c>
    </row>
    <row r="100" spans="1:6" x14ac:dyDescent="0.2">
      <c r="A100" s="46" t="s">
        <v>1015</v>
      </c>
    </row>
    <row r="101" spans="1:6" x14ac:dyDescent="0.2">
      <c r="A101" s="44" t="s">
        <v>1016</v>
      </c>
      <c r="D101" s="1" t="s">
        <v>1016</v>
      </c>
      <c r="E101" s="1" t="s">
        <v>1017</v>
      </c>
      <c r="F101" s="1" t="s">
        <v>1017</v>
      </c>
    </row>
    <row r="102" spans="1:6" x14ac:dyDescent="0.2">
      <c r="A102" s="46" t="s">
        <v>1017</v>
      </c>
    </row>
    <row r="103" spans="1:6" x14ac:dyDescent="0.2">
      <c r="A103" s="46" t="s">
        <v>1018</v>
      </c>
    </row>
    <row r="104" spans="1:6" x14ac:dyDescent="0.2">
      <c r="A104" s="44" t="s">
        <v>1019</v>
      </c>
      <c r="D104" s="1" t="s">
        <v>1019</v>
      </c>
      <c r="E104" s="1" t="s">
        <v>994</v>
      </c>
      <c r="F104" s="1" t="s">
        <v>994</v>
      </c>
    </row>
    <row r="105" spans="1:6" x14ac:dyDescent="0.2">
      <c r="A105" s="46" t="s">
        <v>994</v>
      </c>
    </row>
    <row r="106" spans="1:6" x14ac:dyDescent="0.2">
      <c r="A106" s="46" t="s">
        <v>1020</v>
      </c>
    </row>
    <row r="107" spans="1:6" x14ac:dyDescent="0.2">
      <c r="A107" s="44" t="s">
        <v>1021</v>
      </c>
      <c r="D107" s="1" t="s">
        <v>1021</v>
      </c>
      <c r="E107" s="1" t="s">
        <v>1017</v>
      </c>
      <c r="F107" s="1" t="s">
        <v>1017</v>
      </c>
    </row>
    <row r="108" spans="1:6" x14ac:dyDescent="0.2">
      <c r="A108" s="46" t="s">
        <v>1017</v>
      </c>
    </row>
    <row r="109" spans="1:6" x14ac:dyDescent="0.2">
      <c r="A109" s="46" t="s">
        <v>1022</v>
      </c>
    </row>
    <row r="110" spans="1:6" x14ac:dyDescent="0.2">
      <c r="A110" s="44" t="s">
        <v>1023</v>
      </c>
      <c r="D110" s="1" t="s">
        <v>1023</v>
      </c>
      <c r="E110" s="1" t="s">
        <v>962</v>
      </c>
      <c r="F110" s="1" t="s">
        <v>962</v>
      </c>
    </row>
    <row r="111" spans="1:6" x14ac:dyDescent="0.2">
      <c r="A111" s="46" t="s">
        <v>962</v>
      </c>
    </row>
    <row r="112" spans="1:6" x14ac:dyDescent="0.2">
      <c r="A112" s="46" t="s">
        <v>1024</v>
      </c>
    </row>
    <row r="113" spans="1:6" x14ac:dyDescent="0.2">
      <c r="A113" s="44" t="s">
        <v>1025</v>
      </c>
      <c r="D113" s="1" t="s">
        <v>1025</v>
      </c>
      <c r="E113" s="1" t="s">
        <v>1026</v>
      </c>
      <c r="F113" s="1" t="s">
        <v>1026</v>
      </c>
    </row>
    <row r="114" spans="1:6" x14ac:dyDescent="0.2">
      <c r="A114" s="46" t="s">
        <v>1026</v>
      </c>
    </row>
    <row r="115" spans="1:6" x14ac:dyDescent="0.2">
      <c r="A115" s="46" t="s">
        <v>1027</v>
      </c>
    </row>
    <row r="116" spans="1:6" x14ac:dyDescent="0.2">
      <c r="A116" s="44" t="s">
        <v>1028</v>
      </c>
      <c r="D116" s="1" t="s">
        <v>1028</v>
      </c>
      <c r="E116" s="1" t="s">
        <v>1029</v>
      </c>
      <c r="F116" s="1" t="s">
        <v>1029</v>
      </c>
    </row>
    <row r="117" spans="1:6" x14ac:dyDescent="0.2">
      <c r="A117" s="46" t="s">
        <v>1029</v>
      </c>
    </row>
    <row r="118" spans="1:6" x14ac:dyDescent="0.2">
      <c r="A118" s="46" t="s">
        <v>1030</v>
      </c>
    </row>
    <row r="119" spans="1:6" x14ac:dyDescent="0.2">
      <c r="A119" s="44" t="s">
        <v>1031</v>
      </c>
      <c r="D119" s="1" t="s">
        <v>1031</v>
      </c>
      <c r="E119" s="1" t="s">
        <v>956</v>
      </c>
      <c r="F119" s="1" t="s">
        <v>956</v>
      </c>
    </row>
    <row r="120" spans="1:6" x14ac:dyDescent="0.2">
      <c r="A120" s="46" t="s">
        <v>956</v>
      </c>
    </row>
    <row r="121" spans="1:6" x14ac:dyDescent="0.2">
      <c r="A121" s="46" t="s">
        <v>1032</v>
      </c>
    </row>
    <row r="122" spans="1:6" x14ac:dyDescent="0.2">
      <c r="A122" s="44" t="s">
        <v>1033</v>
      </c>
      <c r="D122" s="1" t="s">
        <v>1033</v>
      </c>
      <c r="E122" s="1" t="s">
        <v>970</v>
      </c>
      <c r="F122" s="1" t="s">
        <v>970</v>
      </c>
    </row>
    <row r="123" spans="1:6" x14ac:dyDescent="0.2">
      <c r="A123" s="46" t="s">
        <v>970</v>
      </c>
    </row>
    <row r="124" spans="1:6" x14ac:dyDescent="0.2">
      <c r="A124" s="46" t="s">
        <v>1034</v>
      </c>
    </row>
    <row r="125" spans="1:6" x14ac:dyDescent="0.2">
      <c r="A125" s="44" t="s">
        <v>1035</v>
      </c>
      <c r="D125" s="1" t="s">
        <v>1035</v>
      </c>
      <c r="E125" s="1" t="s">
        <v>1036</v>
      </c>
      <c r="F125" s="1" t="s">
        <v>1036</v>
      </c>
    </row>
    <row r="126" spans="1:6" x14ac:dyDescent="0.2">
      <c r="A126" s="46" t="s">
        <v>1036</v>
      </c>
    </row>
    <row r="127" spans="1:6" x14ac:dyDescent="0.2">
      <c r="A127" s="46" t="s">
        <v>1037</v>
      </c>
    </row>
    <row r="128" spans="1:6" x14ac:dyDescent="0.2">
      <c r="A128" s="44" t="s">
        <v>1038</v>
      </c>
      <c r="D128" s="1" t="s">
        <v>1038</v>
      </c>
      <c r="E128" s="1" t="s">
        <v>1039</v>
      </c>
      <c r="F128" s="1" t="s">
        <v>1039</v>
      </c>
    </row>
    <row r="129" spans="1:6" x14ac:dyDescent="0.2">
      <c r="A129" s="46" t="s">
        <v>1039</v>
      </c>
    </row>
    <row r="130" spans="1:6" x14ac:dyDescent="0.2">
      <c r="A130" s="46" t="s">
        <v>1040</v>
      </c>
    </row>
    <row r="131" spans="1:6" x14ac:dyDescent="0.2">
      <c r="A131" s="44" t="s">
        <v>1041</v>
      </c>
      <c r="D131" s="1" t="s">
        <v>1041</v>
      </c>
      <c r="E131" s="1" t="s">
        <v>1042</v>
      </c>
      <c r="F131" s="1" t="s">
        <v>1042</v>
      </c>
    </row>
    <row r="132" spans="1:6" x14ac:dyDescent="0.2">
      <c r="A132" s="46" t="s">
        <v>1042</v>
      </c>
    </row>
    <row r="133" spans="1:6" x14ac:dyDescent="0.2">
      <c r="A133" s="46" t="s">
        <v>1043</v>
      </c>
    </row>
    <row r="134" spans="1:6" x14ac:dyDescent="0.2">
      <c r="A134" s="44" t="s">
        <v>1044</v>
      </c>
      <c r="D134" s="1" t="s">
        <v>1044</v>
      </c>
      <c r="E134" s="1" t="s">
        <v>1045</v>
      </c>
      <c r="F134" s="1" t="s">
        <v>1045</v>
      </c>
    </row>
    <row r="135" spans="1:6" x14ac:dyDescent="0.2">
      <c r="A135" s="46" t="s">
        <v>1045</v>
      </c>
    </row>
    <row r="136" spans="1:6" x14ac:dyDescent="0.2">
      <c r="A136" s="46" t="s">
        <v>1046</v>
      </c>
    </row>
    <row r="137" spans="1:6" x14ac:dyDescent="0.2">
      <c r="A137" s="44" t="s">
        <v>1047</v>
      </c>
      <c r="D137" s="1" t="s">
        <v>1047</v>
      </c>
      <c r="E137" s="1" t="s">
        <v>1048</v>
      </c>
      <c r="F137" s="1" t="s">
        <v>1048</v>
      </c>
    </row>
    <row r="138" spans="1:6" x14ac:dyDescent="0.2">
      <c r="A138" s="46" t="s">
        <v>1048</v>
      </c>
    </row>
    <row r="139" spans="1:6" x14ac:dyDescent="0.2">
      <c r="A139" s="46" t="s">
        <v>1049</v>
      </c>
    </row>
    <row r="140" spans="1:6" x14ac:dyDescent="0.2">
      <c r="A140" s="44" t="s">
        <v>1050</v>
      </c>
      <c r="D140" s="1" t="s">
        <v>1050</v>
      </c>
      <c r="E140" s="1" t="s">
        <v>1051</v>
      </c>
      <c r="F140" s="1" t="s">
        <v>1051</v>
      </c>
    </row>
    <row r="141" spans="1:6" x14ac:dyDescent="0.2">
      <c r="A141" s="46" t="s">
        <v>1051</v>
      </c>
    </row>
    <row r="142" spans="1:6" x14ac:dyDescent="0.2">
      <c r="A142" s="46" t="s">
        <v>1052</v>
      </c>
    </row>
    <row r="143" spans="1:6" x14ac:dyDescent="0.2">
      <c r="A143" s="44" t="s">
        <v>1053</v>
      </c>
      <c r="D143" s="1" t="s">
        <v>1053</v>
      </c>
      <c r="E143" s="1" t="s">
        <v>1054</v>
      </c>
      <c r="F143" s="1" t="s">
        <v>1054</v>
      </c>
    </row>
    <row r="144" spans="1:6" x14ac:dyDescent="0.2">
      <c r="A144" s="46" t="s">
        <v>1054</v>
      </c>
    </row>
    <row r="145" spans="1:6" x14ac:dyDescent="0.2">
      <c r="A145" s="46" t="s">
        <v>1055</v>
      </c>
    </row>
    <row r="146" spans="1:6" x14ac:dyDescent="0.2">
      <c r="A146" s="44" t="s">
        <v>1056</v>
      </c>
      <c r="D146" s="1" t="s">
        <v>1056</v>
      </c>
      <c r="E146" s="1" t="s">
        <v>1057</v>
      </c>
      <c r="F146" s="1" t="s">
        <v>1057</v>
      </c>
    </row>
    <row r="147" spans="1:6" x14ac:dyDescent="0.2">
      <c r="A147" s="46" t="s">
        <v>1057</v>
      </c>
    </row>
    <row r="148" spans="1:6" x14ac:dyDescent="0.2">
      <c r="A148" s="46" t="s">
        <v>1058</v>
      </c>
    </row>
    <row r="149" spans="1:6" x14ac:dyDescent="0.2">
      <c r="A149" s="44" t="s">
        <v>1059</v>
      </c>
      <c r="D149" s="1" t="s">
        <v>1059</v>
      </c>
      <c r="E149" s="1" t="s">
        <v>1017</v>
      </c>
      <c r="F149" s="1" t="s">
        <v>1017</v>
      </c>
    </row>
    <row r="150" spans="1:6" x14ac:dyDescent="0.2">
      <c r="A150" s="46" t="s">
        <v>1017</v>
      </c>
    </row>
    <row r="151" spans="1:6" x14ac:dyDescent="0.2">
      <c r="A151" s="46" t="s">
        <v>1060</v>
      </c>
    </row>
    <row r="152" spans="1:6" x14ac:dyDescent="0.2">
      <c r="A152" s="44" t="s">
        <v>1061</v>
      </c>
      <c r="D152" s="1" t="s">
        <v>1061</v>
      </c>
      <c r="E152" s="1" t="s">
        <v>1062</v>
      </c>
      <c r="F152" s="1" t="s">
        <v>1062</v>
      </c>
    </row>
    <row r="153" spans="1:6" x14ac:dyDescent="0.2">
      <c r="A153" s="46" t="s">
        <v>1062</v>
      </c>
    </row>
    <row r="154" spans="1:6" x14ac:dyDescent="0.2">
      <c r="A154" s="46" t="s">
        <v>1063</v>
      </c>
    </row>
    <row r="155" spans="1:6" x14ac:dyDescent="0.2">
      <c r="A155" s="44" t="s">
        <v>1064</v>
      </c>
      <c r="D155" s="1" t="s">
        <v>1064</v>
      </c>
      <c r="E155" s="1" t="s">
        <v>956</v>
      </c>
      <c r="F155" s="1" t="s">
        <v>956</v>
      </c>
    </row>
    <row r="156" spans="1:6" x14ac:dyDescent="0.2">
      <c r="A156" s="46" t="s">
        <v>956</v>
      </c>
    </row>
    <row r="157" spans="1:6" x14ac:dyDescent="0.2">
      <c r="A157" s="46" t="s">
        <v>1065</v>
      </c>
    </row>
    <row r="158" spans="1:6" x14ac:dyDescent="0.2">
      <c r="A158" s="44" t="s">
        <v>1066</v>
      </c>
      <c r="D158" s="1" t="s">
        <v>1066</v>
      </c>
      <c r="E158" s="1" t="s">
        <v>1067</v>
      </c>
      <c r="F158" s="1" t="s">
        <v>1067</v>
      </c>
    </row>
    <row r="159" spans="1:6" x14ac:dyDescent="0.2">
      <c r="A159" s="46" t="s">
        <v>1067</v>
      </c>
    </row>
    <row r="160" spans="1:6" x14ac:dyDescent="0.2">
      <c r="A160" s="46" t="s">
        <v>1068</v>
      </c>
    </row>
    <row r="161" spans="1:6" x14ac:dyDescent="0.2">
      <c r="A161" s="44" t="s">
        <v>1069</v>
      </c>
      <c r="D161" s="1" t="s">
        <v>1069</v>
      </c>
      <c r="E161" s="1" t="s">
        <v>956</v>
      </c>
      <c r="F161" s="1" t="s">
        <v>956</v>
      </c>
    </row>
    <row r="162" spans="1:6" x14ac:dyDescent="0.2">
      <c r="A162" s="46" t="s">
        <v>956</v>
      </c>
    </row>
    <row r="163" spans="1:6" x14ac:dyDescent="0.2">
      <c r="A163" s="46" t="s">
        <v>1070</v>
      </c>
    </row>
    <row r="164" spans="1:6" x14ac:dyDescent="0.2">
      <c r="A164" s="44" t="s">
        <v>1071</v>
      </c>
      <c r="D164" s="1" t="s">
        <v>1071</v>
      </c>
      <c r="E164" s="1" t="s">
        <v>1072</v>
      </c>
      <c r="F164" s="1" t="s">
        <v>1072</v>
      </c>
    </row>
    <row r="165" spans="1:6" x14ac:dyDescent="0.2">
      <c r="A165" s="46" t="s">
        <v>1072</v>
      </c>
    </row>
    <row r="166" spans="1:6" x14ac:dyDescent="0.2">
      <c r="A166" s="46" t="s">
        <v>1073</v>
      </c>
    </row>
    <row r="167" spans="1:6" x14ac:dyDescent="0.2">
      <c r="A167" s="44" t="s">
        <v>1074</v>
      </c>
      <c r="D167" s="1" t="s">
        <v>1074</v>
      </c>
      <c r="E167" s="1" t="s">
        <v>1075</v>
      </c>
      <c r="F167" s="1" t="s">
        <v>1075</v>
      </c>
    </row>
    <row r="168" spans="1:6" x14ac:dyDescent="0.2">
      <c r="A168" s="46" t="s">
        <v>1075</v>
      </c>
    </row>
    <row r="169" spans="1:6" x14ac:dyDescent="0.2">
      <c r="A169" s="46" t="s">
        <v>1076</v>
      </c>
    </row>
    <row r="170" spans="1:6" x14ac:dyDescent="0.2">
      <c r="A170" s="44" t="s">
        <v>1077</v>
      </c>
      <c r="D170" s="1" t="s">
        <v>1077</v>
      </c>
      <c r="E170" s="1" t="s">
        <v>1078</v>
      </c>
      <c r="F170" s="1" t="s">
        <v>1078</v>
      </c>
    </row>
    <row r="171" spans="1:6" x14ac:dyDescent="0.2">
      <c r="A171" s="46" t="s">
        <v>1078</v>
      </c>
    </row>
    <row r="172" spans="1:6" x14ac:dyDescent="0.2">
      <c r="A172" s="46" t="s">
        <v>1079</v>
      </c>
    </row>
    <row r="173" spans="1:6" x14ac:dyDescent="0.2">
      <c r="A173" s="44" t="s">
        <v>1080</v>
      </c>
      <c r="D173" s="1" t="s">
        <v>1080</v>
      </c>
      <c r="E173" s="1" t="s">
        <v>1081</v>
      </c>
      <c r="F173" s="1" t="s">
        <v>1081</v>
      </c>
    </row>
    <row r="174" spans="1:6" x14ac:dyDescent="0.2">
      <c r="A174" s="46" t="s">
        <v>1081</v>
      </c>
    </row>
    <row r="175" spans="1:6" x14ac:dyDescent="0.2">
      <c r="A175" s="46" t="s">
        <v>1082</v>
      </c>
    </row>
    <row r="176" spans="1:6" x14ac:dyDescent="0.2">
      <c r="A176" s="44" t="s">
        <v>1083</v>
      </c>
      <c r="D176" s="1" t="s">
        <v>1083</v>
      </c>
      <c r="E176" s="1" t="s">
        <v>1084</v>
      </c>
      <c r="F176" s="1" t="s">
        <v>1084</v>
      </c>
    </row>
    <row r="177" spans="1:6" x14ac:dyDescent="0.2">
      <c r="A177" s="46" t="s">
        <v>1084</v>
      </c>
    </row>
    <row r="178" spans="1:6" x14ac:dyDescent="0.2">
      <c r="A178" s="46" t="s">
        <v>1085</v>
      </c>
    </row>
    <row r="179" spans="1:6" x14ac:dyDescent="0.2">
      <c r="A179" s="44" t="s">
        <v>1086</v>
      </c>
      <c r="D179" s="1" t="s">
        <v>1086</v>
      </c>
      <c r="E179" s="1" t="s">
        <v>1087</v>
      </c>
      <c r="F179" s="1" t="s">
        <v>1087</v>
      </c>
    </row>
    <row r="180" spans="1:6" x14ac:dyDescent="0.2">
      <c r="A180" s="46" t="s">
        <v>1087</v>
      </c>
    </row>
    <row r="181" spans="1:6" x14ac:dyDescent="0.2">
      <c r="A181" s="46" t="s">
        <v>1088</v>
      </c>
    </row>
    <row r="182" spans="1:6" x14ac:dyDescent="0.2">
      <c r="A182" s="44" t="s">
        <v>1089</v>
      </c>
      <c r="D182" s="1" t="s">
        <v>1089</v>
      </c>
      <c r="E182" s="1" t="s">
        <v>1090</v>
      </c>
      <c r="F182" s="1" t="s">
        <v>1090</v>
      </c>
    </row>
    <row r="183" spans="1:6" x14ac:dyDescent="0.2">
      <c r="A183" s="46" t="s">
        <v>1090</v>
      </c>
    </row>
    <row r="184" spans="1:6" x14ac:dyDescent="0.2">
      <c r="A184" s="46" t="s">
        <v>1091</v>
      </c>
    </row>
    <row r="185" spans="1:6" x14ac:dyDescent="0.2">
      <c r="A185" s="44" t="s">
        <v>1092</v>
      </c>
      <c r="D185" s="1" t="s">
        <v>1092</v>
      </c>
      <c r="E185" s="1" t="s">
        <v>1093</v>
      </c>
      <c r="F185" s="1" t="s">
        <v>1093</v>
      </c>
    </row>
    <row r="186" spans="1:6" x14ac:dyDescent="0.2">
      <c r="A186" s="46" t="s">
        <v>1093</v>
      </c>
    </row>
    <row r="187" spans="1:6" x14ac:dyDescent="0.2">
      <c r="A187" s="46" t="s">
        <v>1094</v>
      </c>
    </row>
    <row r="188" spans="1:6" x14ac:dyDescent="0.2">
      <c r="A188" s="44" t="s">
        <v>1095</v>
      </c>
      <c r="D188" s="1" t="s">
        <v>1095</v>
      </c>
      <c r="E188" s="1" t="s">
        <v>1096</v>
      </c>
      <c r="F188" s="1" t="s">
        <v>1096</v>
      </c>
    </row>
    <row r="189" spans="1:6" x14ac:dyDescent="0.2">
      <c r="A189" s="46" t="s">
        <v>1096</v>
      </c>
    </row>
    <row r="190" spans="1:6" x14ac:dyDescent="0.2">
      <c r="A190" s="46" t="s">
        <v>1097</v>
      </c>
    </row>
    <row r="191" spans="1:6" x14ac:dyDescent="0.2">
      <c r="A191" s="44" t="s">
        <v>1098</v>
      </c>
      <c r="D191" s="1" t="s">
        <v>1098</v>
      </c>
      <c r="E191" s="1" t="s">
        <v>1099</v>
      </c>
      <c r="F191" s="1" t="s">
        <v>1099</v>
      </c>
    </row>
    <row r="192" spans="1:6" x14ac:dyDescent="0.2">
      <c r="A192" s="46" t="s">
        <v>1099</v>
      </c>
    </row>
    <row r="193" spans="1:6" x14ac:dyDescent="0.2">
      <c r="A193" s="46" t="s">
        <v>1100</v>
      </c>
    </row>
    <row r="194" spans="1:6" x14ac:dyDescent="0.2">
      <c r="A194" s="44" t="s">
        <v>1101</v>
      </c>
      <c r="D194" s="1" t="s">
        <v>1101</v>
      </c>
      <c r="E194" s="1" t="s">
        <v>1102</v>
      </c>
      <c r="F194" s="1" t="s">
        <v>1102</v>
      </c>
    </row>
    <row r="195" spans="1:6" x14ac:dyDescent="0.2">
      <c r="A195" s="46" t="s">
        <v>1102</v>
      </c>
    </row>
    <row r="196" spans="1:6" x14ac:dyDescent="0.2">
      <c r="A196" s="46" t="s">
        <v>1103</v>
      </c>
    </row>
    <row r="197" spans="1:6" x14ac:dyDescent="0.2">
      <c r="A197" s="44" t="s">
        <v>1104</v>
      </c>
      <c r="D197" s="1" t="s">
        <v>1104</v>
      </c>
      <c r="E197" s="1" t="s">
        <v>1105</v>
      </c>
      <c r="F197" s="1" t="s">
        <v>1105</v>
      </c>
    </row>
    <row r="198" spans="1:6" x14ac:dyDescent="0.2">
      <c r="A198" s="46" t="s">
        <v>1105</v>
      </c>
    </row>
    <row r="199" spans="1:6" x14ac:dyDescent="0.2">
      <c r="A199" s="46" t="s">
        <v>1106</v>
      </c>
    </row>
    <row r="200" spans="1:6" x14ac:dyDescent="0.2">
      <c r="A200" s="44" t="s">
        <v>1107</v>
      </c>
      <c r="D200" s="1" t="s">
        <v>1107</v>
      </c>
      <c r="E200" s="1" t="s">
        <v>956</v>
      </c>
      <c r="F200" s="1" t="s">
        <v>956</v>
      </c>
    </row>
    <row r="201" spans="1:6" x14ac:dyDescent="0.2">
      <c r="A201" s="46" t="s">
        <v>956</v>
      </c>
    </row>
    <row r="202" spans="1:6" x14ac:dyDescent="0.2">
      <c r="A202" s="46" t="s">
        <v>1108</v>
      </c>
    </row>
    <row r="203" spans="1:6" x14ac:dyDescent="0.2">
      <c r="A203" s="44" t="s">
        <v>1109</v>
      </c>
      <c r="D203" s="1" t="s">
        <v>1109</v>
      </c>
      <c r="E203" s="1" t="s">
        <v>1110</v>
      </c>
      <c r="F203" s="1" t="s">
        <v>1110</v>
      </c>
    </row>
    <row r="204" spans="1:6" x14ac:dyDescent="0.2">
      <c r="A204" s="46" t="s">
        <v>1110</v>
      </c>
    </row>
    <row r="205" spans="1:6" x14ac:dyDescent="0.2">
      <c r="A205" s="46" t="s">
        <v>1111</v>
      </c>
    </row>
    <row r="206" spans="1:6" x14ac:dyDescent="0.2">
      <c r="A206" s="44" t="s">
        <v>1112</v>
      </c>
      <c r="D206" s="1" t="s">
        <v>1112</v>
      </c>
      <c r="E206" s="1" t="s">
        <v>927</v>
      </c>
      <c r="F206" s="1" t="s">
        <v>927</v>
      </c>
    </row>
    <row r="207" spans="1:6" x14ac:dyDescent="0.2">
      <c r="A207" s="46" t="s">
        <v>927</v>
      </c>
    </row>
    <row r="208" spans="1:6" x14ac:dyDescent="0.2">
      <c r="A208" s="46" t="s">
        <v>1113</v>
      </c>
    </row>
    <row r="209" spans="1:6" x14ac:dyDescent="0.2">
      <c r="A209" s="44" t="s">
        <v>1114</v>
      </c>
      <c r="D209" s="1" t="s">
        <v>1114</v>
      </c>
      <c r="E209" s="1" t="s">
        <v>970</v>
      </c>
      <c r="F209" s="1" t="s">
        <v>970</v>
      </c>
    </row>
    <row r="210" spans="1:6" x14ac:dyDescent="0.2">
      <c r="A210" s="46" t="s">
        <v>970</v>
      </c>
    </row>
    <row r="211" spans="1:6" x14ac:dyDescent="0.2">
      <c r="A211" s="46" t="s">
        <v>971</v>
      </c>
    </row>
    <row r="212" spans="1:6" x14ac:dyDescent="0.2">
      <c r="A212" s="44" t="s">
        <v>1115</v>
      </c>
      <c r="D212" s="1" t="s">
        <v>1115</v>
      </c>
      <c r="E212" s="1" t="s">
        <v>1003</v>
      </c>
      <c r="F212" s="1" t="s">
        <v>1003</v>
      </c>
    </row>
    <row r="213" spans="1:6" x14ac:dyDescent="0.2">
      <c r="A213" s="46" t="s">
        <v>1003</v>
      </c>
    </row>
    <row r="214" spans="1:6" x14ac:dyDescent="0.2">
      <c r="A214" s="46" t="s">
        <v>1116</v>
      </c>
    </row>
    <row r="215" spans="1:6" x14ac:dyDescent="0.2">
      <c r="A215" s="44" t="s">
        <v>1117</v>
      </c>
      <c r="D215" s="1" t="s">
        <v>1117</v>
      </c>
      <c r="E215" s="1" t="s">
        <v>1118</v>
      </c>
      <c r="F215" s="1" t="s">
        <v>1118</v>
      </c>
    </row>
    <row r="216" spans="1:6" x14ac:dyDescent="0.2">
      <c r="A216" s="46" t="s">
        <v>1118</v>
      </c>
    </row>
    <row r="217" spans="1:6" x14ac:dyDescent="0.2">
      <c r="A217" s="46" t="s">
        <v>1119</v>
      </c>
    </row>
    <row r="218" spans="1:6" x14ac:dyDescent="0.2">
      <c r="A218" s="44" t="s">
        <v>1120</v>
      </c>
      <c r="D218" s="1" t="s">
        <v>1120</v>
      </c>
      <c r="E218" s="1" t="s">
        <v>927</v>
      </c>
      <c r="F218" s="1" t="s">
        <v>927</v>
      </c>
    </row>
    <row r="219" spans="1:6" x14ac:dyDescent="0.2">
      <c r="A219" s="46" t="s">
        <v>927</v>
      </c>
    </row>
    <row r="220" spans="1:6" x14ac:dyDescent="0.2">
      <c r="A220" s="46" t="s">
        <v>1121</v>
      </c>
    </row>
    <row r="221" spans="1:6" x14ac:dyDescent="0.2">
      <c r="A221" s="44" t="s">
        <v>1122</v>
      </c>
      <c r="D221" s="1" t="s">
        <v>1122</v>
      </c>
      <c r="E221" s="1" t="s">
        <v>1123</v>
      </c>
      <c r="F221" s="1" t="s">
        <v>1123</v>
      </c>
    </row>
    <row r="222" spans="1:6" x14ac:dyDescent="0.2">
      <c r="A222" s="46" t="s">
        <v>1123</v>
      </c>
    </row>
    <row r="223" spans="1:6" x14ac:dyDescent="0.2">
      <c r="A223" s="46" t="s">
        <v>1124</v>
      </c>
    </row>
    <row r="224" spans="1:6" x14ac:dyDescent="0.2">
      <c r="A224" s="44" t="s">
        <v>1125</v>
      </c>
      <c r="D224" s="1" t="s">
        <v>1125</v>
      </c>
      <c r="E224" s="1" t="s">
        <v>927</v>
      </c>
      <c r="F224" s="1" t="s">
        <v>927</v>
      </c>
    </row>
    <row r="225" spans="1:6" x14ac:dyDescent="0.2">
      <c r="A225" s="46" t="s">
        <v>927</v>
      </c>
    </row>
    <row r="226" spans="1:6" x14ac:dyDescent="0.2">
      <c r="A226" s="46" t="s">
        <v>1126</v>
      </c>
    </row>
    <row r="227" spans="1:6" x14ac:dyDescent="0.2">
      <c r="A227" s="44" t="s">
        <v>1127</v>
      </c>
      <c r="D227" s="1" t="s">
        <v>1127</v>
      </c>
      <c r="E227" s="1" t="s">
        <v>1128</v>
      </c>
      <c r="F227" s="1" t="s">
        <v>1128</v>
      </c>
    </row>
    <row r="228" spans="1:6" x14ac:dyDescent="0.2">
      <c r="A228" s="46" t="s">
        <v>1128</v>
      </c>
    </row>
    <row r="229" spans="1:6" x14ac:dyDescent="0.2">
      <c r="A229" s="46" t="s">
        <v>1129</v>
      </c>
    </row>
    <row r="230" spans="1:6" x14ac:dyDescent="0.2">
      <c r="A230" s="44" t="s">
        <v>1130</v>
      </c>
      <c r="D230" s="1" t="s">
        <v>1130</v>
      </c>
      <c r="E230" s="1" t="s">
        <v>951</v>
      </c>
      <c r="F230" s="1" t="s">
        <v>951</v>
      </c>
    </row>
    <row r="231" spans="1:6" x14ac:dyDescent="0.2">
      <c r="A231" s="46" t="s">
        <v>951</v>
      </c>
    </row>
    <row r="232" spans="1:6" x14ac:dyDescent="0.2">
      <c r="A232" s="46" t="s">
        <v>1131</v>
      </c>
    </row>
    <row r="233" spans="1:6" x14ac:dyDescent="0.2">
      <c r="A233" s="44" t="s">
        <v>1132</v>
      </c>
      <c r="D233" s="1" t="s">
        <v>1132</v>
      </c>
      <c r="E233" s="1" t="s">
        <v>1133</v>
      </c>
      <c r="F233" s="1" t="s">
        <v>1133</v>
      </c>
    </row>
    <row r="234" spans="1:6" x14ac:dyDescent="0.2">
      <c r="A234" s="46" t="s">
        <v>1133</v>
      </c>
    </row>
    <row r="235" spans="1:6" x14ac:dyDescent="0.2">
      <c r="A235" s="46" t="s">
        <v>1134</v>
      </c>
    </row>
    <row r="236" spans="1:6" x14ac:dyDescent="0.2">
      <c r="A236" s="44" t="s">
        <v>1135</v>
      </c>
      <c r="D236" s="1" t="s">
        <v>1135</v>
      </c>
      <c r="E236" s="1" t="s">
        <v>1136</v>
      </c>
      <c r="F236" s="1" t="s">
        <v>1136</v>
      </c>
    </row>
    <row r="237" spans="1:6" x14ac:dyDescent="0.2">
      <c r="A237" s="46" t="s">
        <v>1136</v>
      </c>
    </row>
    <row r="238" spans="1:6" x14ac:dyDescent="0.2">
      <c r="A238" s="46" t="s">
        <v>1137</v>
      </c>
    </row>
    <row r="239" spans="1:6" x14ac:dyDescent="0.2">
      <c r="A239" s="44" t="s">
        <v>1138</v>
      </c>
      <c r="D239" s="1" t="s">
        <v>1138</v>
      </c>
      <c r="E239" s="1" t="s">
        <v>1139</v>
      </c>
      <c r="F239" s="1" t="s">
        <v>1139</v>
      </c>
    </row>
    <row r="240" spans="1:6" x14ac:dyDescent="0.2">
      <c r="A240" s="46" t="s">
        <v>1139</v>
      </c>
    </row>
    <row r="241" spans="1:6" x14ac:dyDescent="0.2">
      <c r="A241" s="46" t="s">
        <v>1140</v>
      </c>
    </row>
    <row r="242" spans="1:6" x14ac:dyDescent="0.2">
      <c r="A242" s="44" t="s">
        <v>1141</v>
      </c>
      <c r="D242" s="1" t="s">
        <v>1141</v>
      </c>
      <c r="E242" s="1" t="s">
        <v>956</v>
      </c>
      <c r="F242" s="1" t="s">
        <v>956</v>
      </c>
    </row>
    <row r="243" spans="1:6" x14ac:dyDescent="0.2">
      <c r="A243" s="46" t="s">
        <v>956</v>
      </c>
    </row>
    <row r="244" spans="1:6" x14ac:dyDescent="0.2">
      <c r="A244" s="46" t="s">
        <v>1142</v>
      </c>
    </row>
    <row r="245" spans="1:6" x14ac:dyDescent="0.2">
      <c r="A245" s="44" t="s">
        <v>1143</v>
      </c>
      <c r="D245" s="1" t="s">
        <v>1143</v>
      </c>
      <c r="E245" s="1" t="s">
        <v>1144</v>
      </c>
      <c r="F245" s="1" t="s">
        <v>1144</v>
      </c>
    </row>
    <row r="246" spans="1:6" x14ac:dyDescent="0.2">
      <c r="A246" s="46" t="s">
        <v>1144</v>
      </c>
    </row>
    <row r="247" spans="1:6" x14ac:dyDescent="0.2">
      <c r="A247" s="46" t="s">
        <v>1145</v>
      </c>
    </row>
    <row r="248" spans="1:6" x14ac:dyDescent="0.2">
      <c r="A248" s="44" t="s">
        <v>1146</v>
      </c>
      <c r="D248" s="1" t="s">
        <v>1146</v>
      </c>
      <c r="E248" s="1" t="s">
        <v>1147</v>
      </c>
      <c r="F248" s="1" t="s">
        <v>1147</v>
      </c>
    </row>
    <row r="249" spans="1:6" x14ac:dyDescent="0.2">
      <c r="A249" s="46" t="s">
        <v>1147</v>
      </c>
    </row>
    <row r="250" spans="1:6" x14ac:dyDescent="0.2">
      <c r="A250" s="46" t="s">
        <v>1148</v>
      </c>
    </row>
    <row r="251" spans="1:6" x14ac:dyDescent="0.2">
      <c r="A251" s="44" t="s">
        <v>1149</v>
      </c>
      <c r="D251" s="1" t="s">
        <v>1149</v>
      </c>
      <c r="E251" s="1" t="s">
        <v>1150</v>
      </c>
      <c r="F251" s="1" t="s">
        <v>1150</v>
      </c>
    </row>
    <row r="252" spans="1:6" x14ac:dyDescent="0.2">
      <c r="A252" s="46" t="s">
        <v>1150</v>
      </c>
    </row>
    <row r="253" spans="1:6" x14ac:dyDescent="0.2">
      <c r="A253" s="46" t="s">
        <v>1151</v>
      </c>
    </row>
    <row r="254" spans="1:6" x14ac:dyDescent="0.2">
      <c r="A254" s="44" t="s">
        <v>1152</v>
      </c>
      <c r="D254" s="1" t="s">
        <v>1152</v>
      </c>
      <c r="E254" s="1" t="s">
        <v>970</v>
      </c>
      <c r="F254" s="1" t="s">
        <v>970</v>
      </c>
    </row>
    <row r="255" spans="1:6" x14ac:dyDescent="0.2">
      <c r="A255" s="46" t="s">
        <v>970</v>
      </c>
    </row>
    <row r="256" spans="1:6" x14ac:dyDescent="0.2">
      <c r="A256" s="46" t="s">
        <v>1153</v>
      </c>
    </row>
    <row r="257" spans="1:6" x14ac:dyDescent="0.2">
      <c r="A257" s="44" t="s">
        <v>1154</v>
      </c>
      <c r="D257" s="1" t="s">
        <v>1154</v>
      </c>
      <c r="E257" s="1" t="s">
        <v>1155</v>
      </c>
      <c r="F257" s="1" t="s">
        <v>1155</v>
      </c>
    </row>
    <row r="258" spans="1:6" x14ac:dyDescent="0.2">
      <c r="A258" s="46" t="s">
        <v>1155</v>
      </c>
    </row>
    <row r="259" spans="1:6" x14ac:dyDescent="0.2">
      <c r="A259" s="46" t="s">
        <v>1156</v>
      </c>
    </row>
    <row r="260" spans="1:6" x14ac:dyDescent="0.2">
      <c r="A260" s="44" t="s">
        <v>1157</v>
      </c>
      <c r="D260" s="1" t="s">
        <v>1157</v>
      </c>
      <c r="E260" s="1" t="s">
        <v>1158</v>
      </c>
      <c r="F260" s="1" t="s">
        <v>1158</v>
      </c>
    </row>
    <row r="261" spans="1:6" x14ac:dyDescent="0.2">
      <c r="A261" s="46" t="s">
        <v>1158</v>
      </c>
    </row>
    <row r="262" spans="1:6" x14ac:dyDescent="0.2">
      <c r="A262" s="46" t="s">
        <v>1159</v>
      </c>
    </row>
    <row r="263" spans="1:6" x14ac:dyDescent="0.2">
      <c r="A263" s="44" t="s">
        <v>1160</v>
      </c>
      <c r="D263" s="1" t="s">
        <v>1160</v>
      </c>
      <c r="E263" s="1" t="s">
        <v>970</v>
      </c>
      <c r="F263" s="1" t="s">
        <v>970</v>
      </c>
    </row>
    <row r="264" spans="1:6" x14ac:dyDescent="0.2">
      <c r="A264" s="46" t="s">
        <v>970</v>
      </c>
    </row>
    <row r="265" spans="1:6" x14ac:dyDescent="0.2">
      <c r="A265" s="46" t="s">
        <v>971</v>
      </c>
    </row>
    <row r="266" spans="1:6" x14ac:dyDescent="0.2">
      <c r="A266" s="44" t="s">
        <v>1161</v>
      </c>
      <c r="D266" s="1" t="s">
        <v>1161</v>
      </c>
      <c r="E266" s="1" t="s">
        <v>1162</v>
      </c>
      <c r="F266" s="1" t="s">
        <v>1162</v>
      </c>
    </row>
    <row r="267" spans="1:6" x14ac:dyDescent="0.2">
      <c r="A267" s="46" t="s">
        <v>1162</v>
      </c>
    </row>
    <row r="268" spans="1:6" x14ac:dyDescent="0.2">
      <c r="A268" s="46" t="s">
        <v>1163</v>
      </c>
    </row>
    <row r="269" spans="1:6" x14ac:dyDescent="0.2">
      <c r="A269" s="44" t="s">
        <v>1164</v>
      </c>
      <c r="D269" s="1" t="s">
        <v>1164</v>
      </c>
      <c r="E269" s="1" t="s">
        <v>1162</v>
      </c>
      <c r="F269" s="1" t="s">
        <v>1162</v>
      </c>
    </row>
    <row r="270" spans="1:6" x14ac:dyDescent="0.2">
      <c r="A270" s="46" t="s">
        <v>1162</v>
      </c>
    </row>
    <row r="271" spans="1:6" x14ac:dyDescent="0.2">
      <c r="A271" s="46" t="s">
        <v>1165</v>
      </c>
    </row>
    <row r="272" spans="1:6" x14ac:dyDescent="0.2">
      <c r="A272" s="44" t="s">
        <v>1166</v>
      </c>
      <c r="D272" s="1" t="s">
        <v>1166</v>
      </c>
      <c r="E272" s="1" t="s">
        <v>1167</v>
      </c>
      <c r="F272" s="1" t="s">
        <v>1167</v>
      </c>
    </row>
    <row r="273" spans="1:6" x14ac:dyDescent="0.2">
      <c r="A273" s="46" t="s">
        <v>1167</v>
      </c>
    </row>
    <row r="274" spans="1:6" x14ac:dyDescent="0.2">
      <c r="A274" s="46" t="s">
        <v>1168</v>
      </c>
    </row>
    <row r="275" spans="1:6" x14ac:dyDescent="0.2">
      <c r="A275" s="44" t="s">
        <v>1169</v>
      </c>
      <c r="D275" s="1" t="s">
        <v>1169</v>
      </c>
      <c r="E275" s="1" t="s">
        <v>1133</v>
      </c>
      <c r="F275" s="1" t="s">
        <v>1133</v>
      </c>
    </row>
    <row r="276" spans="1:6" x14ac:dyDescent="0.2">
      <c r="A276" s="46" t="s">
        <v>1133</v>
      </c>
    </row>
    <row r="277" spans="1:6" x14ac:dyDescent="0.2">
      <c r="A277" s="46" t="s">
        <v>1170</v>
      </c>
    </row>
    <row r="278" spans="1:6" x14ac:dyDescent="0.2">
      <c r="A278" s="44" t="s">
        <v>1171</v>
      </c>
      <c r="D278" s="1" t="s">
        <v>1171</v>
      </c>
      <c r="E278" s="1" t="s">
        <v>1172</v>
      </c>
      <c r="F278" s="1" t="s">
        <v>1172</v>
      </c>
    </row>
    <row r="279" spans="1:6" x14ac:dyDescent="0.2">
      <c r="A279" s="46" t="s">
        <v>1172</v>
      </c>
    </row>
    <row r="280" spans="1:6" x14ac:dyDescent="0.2">
      <c r="A280" s="46" t="s">
        <v>1173</v>
      </c>
    </row>
    <row r="281" spans="1:6" x14ac:dyDescent="0.2">
      <c r="A281" s="44" t="s">
        <v>1174</v>
      </c>
      <c r="D281" s="1" t="s">
        <v>1174</v>
      </c>
      <c r="E281" s="1" t="s">
        <v>1175</v>
      </c>
      <c r="F281" s="1" t="s">
        <v>1175</v>
      </c>
    </row>
    <row r="282" spans="1:6" x14ac:dyDescent="0.2">
      <c r="A282" s="46" t="s">
        <v>1175</v>
      </c>
    </row>
    <row r="283" spans="1:6" x14ac:dyDescent="0.2">
      <c r="A283" s="46" t="s">
        <v>1176</v>
      </c>
    </row>
    <row r="284" spans="1:6" x14ac:dyDescent="0.2">
      <c r="A284" s="44" t="s">
        <v>1177</v>
      </c>
      <c r="D284" s="1" t="s">
        <v>1177</v>
      </c>
      <c r="E284" s="1" t="s">
        <v>1026</v>
      </c>
      <c r="F284" s="1" t="s">
        <v>1026</v>
      </c>
    </row>
    <row r="285" spans="1:6" x14ac:dyDescent="0.2">
      <c r="A285" s="46" t="s">
        <v>1026</v>
      </c>
    </row>
    <row r="286" spans="1:6" x14ac:dyDescent="0.2">
      <c r="A286" s="46" t="s">
        <v>1178</v>
      </c>
    </row>
    <row r="287" spans="1:6" x14ac:dyDescent="0.2">
      <c r="A287" s="44" t="s">
        <v>1179</v>
      </c>
      <c r="D287" s="1" t="s">
        <v>1179</v>
      </c>
      <c r="E287" s="1" t="s">
        <v>1180</v>
      </c>
      <c r="F287" s="1" t="s">
        <v>1180</v>
      </c>
    </row>
    <row r="288" spans="1:6" x14ac:dyDescent="0.2">
      <c r="A288" s="46" t="s">
        <v>1180</v>
      </c>
    </row>
    <row r="289" spans="1:6" x14ac:dyDescent="0.2">
      <c r="A289" s="46" t="s">
        <v>1181</v>
      </c>
    </row>
    <row r="290" spans="1:6" x14ac:dyDescent="0.2">
      <c r="A290" s="44" t="s">
        <v>1182</v>
      </c>
      <c r="D290" s="1" t="s">
        <v>1182</v>
      </c>
      <c r="E290" s="1" t="s">
        <v>927</v>
      </c>
      <c r="F290" s="1" t="s">
        <v>927</v>
      </c>
    </row>
    <row r="291" spans="1:6" x14ac:dyDescent="0.2">
      <c r="A291" s="46" t="s">
        <v>927</v>
      </c>
    </row>
    <row r="292" spans="1:6" x14ac:dyDescent="0.2">
      <c r="A292" s="46" t="s">
        <v>1183</v>
      </c>
    </row>
    <row r="293" spans="1:6" x14ac:dyDescent="0.2">
      <c r="A293" s="44" t="s">
        <v>1184</v>
      </c>
      <c r="D293" s="1" t="s">
        <v>1184</v>
      </c>
      <c r="E293" s="1" t="s">
        <v>1054</v>
      </c>
      <c r="F293" s="1" t="s">
        <v>1054</v>
      </c>
    </row>
    <row r="294" spans="1:6" x14ac:dyDescent="0.2">
      <c r="A294" s="46" t="s">
        <v>1054</v>
      </c>
    </row>
    <row r="295" spans="1:6" x14ac:dyDescent="0.2">
      <c r="A295" s="46" t="s">
        <v>1185</v>
      </c>
    </row>
    <row r="296" spans="1:6" x14ac:dyDescent="0.2">
      <c r="A296" s="44" t="s">
        <v>1186</v>
      </c>
      <c r="D296" s="1" t="s">
        <v>1186</v>
      </c>
      <c r="E296" s="1" t="s">
        <v>927</v>
      </c>
      <c r="F296" s="1" t="s">
        <v>927</v>
      </c>
    </row>
    <row r="297" spans="1:6" x14ac:dyDescent="0.2">
      <c r="A297" s="46" t="s">
        <v>927</v>
      </c>
    </row>
    <row r="298" spans="1:6" x14ac:dyDescent="0.2">
      <c r="A298" s="46" t="s">
        <v>1187</v>
      </c>
    </row>
    <row r="299" spans="1:6" x14ac:dyDescent="0.2">
      <c r="A299" s="44" t="s">
        <v>1188</v>
      </c>
      <c r="D299" s="1" t="s">
        <v>1188</v>
      </c>
      <c r="E299" s="1" t="s">
        <v>1189</v>
      </c>
      <c r="F299" s="1" t="s">
        <v>1189</v>
      </c>
    </row>
    <row r="300" spans="1:6" x14ac:dyDescent="0.2">
      <c r="A300" s="46" t="s">
        <v>1189</v>
      </c>
    </row>
    <row r="301" spans="1:6" x14ac:dyDescent="0.2">
      <c r="A301" s="46" t="s">
        <v>1190</v>
      </c>
    </row>
    <row r="302" spans="1:6" x14ac:dyDescent="0.2">
      <c r="A302" s="44" t="s">
        <v>1191</v>
      </c>
      <c r="D302" s="1" t="s">
        <v>1191</v>
      </c>
      <c r="E302" s="1" t="s">
        <v>1192</v>
      </c>
      <c r="F302" s="1" t="s">
        <v>1192</v>
      </c>
    </row>
    <row r="303" spans="1:6" x14ac:dyDescent="0.2">
      <c r="A303" s="46" t="s">
        <v>1192</v>
      </c>
    </row>
    <row r="304" spans="1:6" x14ac:dyDescent="0.2">
      <c r="A304" s="46" t="s">
        <v>1193</v>
      </c>
    </row>
    <row r="305" spans="1:6" x14ac:dyDescent="0.2">
      <c r="A305" s="44" t="s">
        <v>1194</v>
      </c>
      <c r="D305" s="1" t="s">
        <v>1194</v>
      </c>
      <c r="E305" s="1" t="s">
        <v>956</v>
      </c>
      <c r="F305" s="1" t="s">
        <v>956</v>
      </c>
    </row>
    <row r="306" spans="1:6" x14ac:dyDescent="0.2">
      <c r="A306" s="46" t="s">
        <v>956</v>
      </c>
    </row>
    <row r="307" spans="1:6" x14ac:dyDescent="0.2">
      <c r="A307" s="46" t="s">
        <v>1195</v>
      </c>
    </row>
    <row r="308" spans="1:6" x14ac:dyDescent="0.2">
      <c r="A308" s="44" t="s">
        <v>1196</v>
      </c>
      <c r="D308" s="1" t="s">
        <v>1196</v>
      </c>
      <c r="E308" s="1" t="s">
        <v>1197</v>
      </c>
      <c r="F308" s="1" t="s">
        <v>1197</v>
      </c>
    </row>
    <row r="309" spans="1:6" x14ac:dyDescent="0.2">
      <c r="A309" s="46" t="s">
        <v>1197</v>
      </c>
    </row>
    <row r="310" spans="1:6" x14ac:dyDescent="0.2">
      <c r="A310" s="46" t="s">
        <v>1020</v>
      </c>
    </row>
    <row r="311" spans="1:6" x14ac:dyDescent="0.2">
      <c r="A311" s="44" t="s">
        <v>1198</v>
      </c>
      <c r="D311" s="1" t="s">
        <v>1198</v>
      </c>
      <c r="E311" s="1" t="s">
        <v>1199</v>
      </c>
      <c r="F311" s="1" t="s">
        <v>1199</v>
      </c>
    </row>
    <row r="312" spans="1:6" x14ac:dyDescent="0.2">
      <c r="A312" s="46" t="s">
        <v>1199</v>
      </c>
    </row>
    <row r="313" spans="1:6" x14ac:dyDescent="0.2">
      <c r="A313" s="46" t="s">
        <v>1200</v>
      </c>
    </row>
    <row r="314" spans="1:6" x14ac:dyDescent="0.2">
      <c r="A314" s="44" t="s">
        <v>1201</v>
      </c>
      <c r="D314" s="1" t="s">
        <v>1201</v>
      </c>
      <c r="E314" s="1" t="s">
        <v>927</v>
      </c>
      <c r="F314" s="1" t="s">
        <v>927</v>
      </c>
    </row>
    <row r="315" spans="1:6" x14ac:dyDescent="0.2">
      <c r="A315" s="46" t="s">
        <v>927</v>
      </c>
    </row>
    <row r="316" spans="1:6" x14ac:dyDescent="0.2">
      <c r="A316" s="46" t="s">
        <v>1202</v>
      </c>
    </row>
    <row r="317" spans="1:6" x14ac:dyDescent="0.2">
      <c r="A317" s="44" t="s">
        <v>1203</v>
      </c>
      <c r="D317" s="1" t="s">
        <v>1203</v>
      </c>
      <c r="E317" s="1" t="s">
        <v>1204</v>
      </c>
      <c r="F317" s="1" t="s">
        <v>1204</v>
      </c>
    </row>
    <row r="318" spans="1:6" x14ac:dyDescent="0.2">
      <c r="A318" s="46" t="s">
        <v>1204</v>
      </c>
    </row>
    <row r="319" spans="1:6" x14ac:dyDescent="0.2">
      <c r="A319" s="46" t="s">
        <v>1205</v>
      </c>
    </row>
    <row r="320" spans="1:6" x14ac:dyDescent="0.2">
      <c r="A320" s="44" t="s">
        <v>1206</v>
      </c>
      <c r="D320" s="1" t="s">
        <v>1206</v>
      </c>
      <c r="E320" s="1" t="s">
        <v>927</v>
      </c>
      <c r="F320" s="1" t="s">
        <v>927</v>
      </c>
    </row>
    <row r="321" spans="1:6" x14ac:dyDescent="0.2">
      <c r="A321" s="46" t="s">
        <v>927</v>
      </c>
    </row>
    <row r="322" spans="1:6" x14ac:dyDescent="0.2">
      <c r="A322" s="46" t="s">
        <v>1207</v>
      </c>
    </row>
    <row r="323" spans="1:6" x14ac:dyDescent="0.2">
      <c r="A323" s="44" t="s">
        <v>1208</v>
      </c>
      <c r="D323" s="1" t="s">
        <v>1208</v>
      </c>
      <c r="E323" s="1" t="s">
        <v>1209</v>
      </c>
      <c r="F323" s="1" t="s">
        <v>1209</v>
      </c>
    </row>
    <row r="324" spans="1:6" x14ac:dyDescent="0.2">
      <c r="A324" s="46" t="s">
        <v>1209</v>
      </c>
    </row>
    <row r="325" spans="1:6" x14ac:dyDescent="0.2">
      <c r="A325" s="46" t="s">
        <v>1210</v>
      </c>
    </row>
    <row r="326" spans="1:6" x14ac:dyDescent="0.2">
      <c r="A326" s="44" t="s">
        <v>1211</v>
      </c>
      <c r="D326" s="1" t="s">
        <v>1211</v>
      </c>
      <c r="E326" s="1" t="s">
        <v>1212</v>
      </c>
      <c r="F326" s="1" t="s">
        <v>1212</v>
      </c>
    </row>
    <row r="327" spans="1:6" x14ac:dyDescent="0.2">
      <c r="A327" s="46" t="s">
        <v>1212</v>
      </c>
    </row>
    <row r="328" spans="1:6" x14ac:dyDescent="0.2">
      <c r="A328" s="46" t="s">
        <v>1213</v>
      </c>
    </row>
    <row r="329" spans="1:6" x14ac:dyDescent="0.2">
      <c r="A329" s="44" t="s">
        <v>1214</v>
      </c>
      <c r="D329" s="1" t="s">
        <v>1214</v>
      </c>
      <c r="E329" s="1" t="s">
        <v>1215</v>
      </c>
      <c r="F329" s="1" t="s">
        <v>1215</v>
      </c>
    </row>
    <row r="330" spans="1:6" x14ac:dyDescent="0.2">
      <c r="A330" s="46" t="s">
        <v>1215</v>
      </c>
    </row>
    <row r="331" spans="1:6" x14ac:dyDescent="0.2">
      <c r="A331" s="46" t="s">
        <v>1216</v>
      </c>
    </row>
    <row r="332" spans="1:6" x14ac:dyDescent="0.2">
      <c r="A332" s="44" t="s">
        <v>1217</v>
      </c>
      <c r="D332" s="1" t="s">
        <v>1217</v>
      </c>
      <c r="E332" s="1" t="s">
        <v>1042</v>
      </c>
      <c r="F332" s="1" t="s">
        <v>1042</v>
      </c>
    </row>
    <row r="333" spans="1:6" x14ac:dyDescent="0.2">
      <c r="A333" s="46" t="s">
        <v>1042</v>
      </c>
    </row>
    <row r="334" spans="1:6" x14ac:dyDescent="0.2">
      <c r="A334" s="46" t="s">
        <v>1218</v>
      </c>
    </row>
    <row r="335" spans="1:6" x14ac:dyDescent="0.2">
      <c r="A335" s="44" t="s">
        <v>1219</v>
      </c>
      <c r="D335" s="1" t="s">
        <v>1219</v>
      </c>
      <c r="E335" s="1" t="s">
        <v>1220</v>
      </c>
      <c r="F335" s="1" t="s">
        <v>1220</v>
      </c>
    </row>
    <row r="336" spans="1:6" x14ac:dyDescent="0.2">
      <c r="A336" s="46" t="s">
        <v>1220</v>
      </c>
    </row>
    <row r="337" spans="1:6" x14ac:dyDescent="0.2">
      <c r="A337" s="46" t="s">
        <v>1221</v>
      </c>
    </row>
    <row r="338" spans="1:6" x14ac:dyDescent="0.2">
      <c r="A338" s="44" t="s">
        <v>1222</v>
      </c>
      <c r="D338" s="1" t="s">
        <v>1222</v>
      </c>
      <c r="E338" s="1" t="s">
        <v>1223</v>
      </c>
      <c r="F338" s="1" t="s">
        <v>1223</v>
      </c>
    </row>
    <row r="339" spans="1:6" x14ac:dyDescent="0.2">
      <c r="A339" s="46" t="s">
        <v>1223</v>
      </c>
    </row>
    <row r="340" spans="1:6" x14ac:dyDescent="0.2">
      <c r="A340" s="46" t="s">
        <v>1224</v>
      </c>
    </row>
    <row r="341" spans="1:6" x14ac:dyDescent="0.2">
      <c r="A341" s="44" t="s">
        <v>1225</v>
      </c>
      <c r="D341" s="1" t="s">
        <v>1225</v>
      </c>
      <c r="E341" s="1" t="s">
        <v>1162</v>
      </c>
      <c r="F341" s="1" t="s">
        <v>1162</v>
      </c>
    </row>
    <row r="342" spans="1:6" x14ac:dyDescent="0.2">
      <c r="A342" s="46" t="s">
        <v>1162</v>
      </c>
    </row>
    <row r="343" spans="1:6" x14ac:dyDescent="0.2">
      <c r="A343" s="46" t="s">
        <v>1226</v>
      </c>
    </row>
    <row r="344" spans="1:6" x14ac:dyDescent="0.2">
      <c r="A344" s="44" t="s">
        <v>1227</v>
      </c>
      <c r="D344" s="1" t="s">
        <v>1227</v>
      </c>
      <c r="E344" s="1" t="s">
        <v>1228</v>
      </c>
      <c r="F344" s="1" t="s">
        <v>1228</v>
      </c>
    </row>
    <row r="345" spans="1:6" x14ac:dyDescent="0.2">
      <c r="A345" s="46" t="s">
        <v>1228</v>
      </c>
    </row>
    <row r="346" spans="1:6" x14ac:dyDescent="0.2">
      <c r="A346" s="46" t="s">
        <v>1229</v>
      </c>
    </row>
    <row r="347" spans="1:6" x14ac:dyDescent="0.2">
      <c r="A347" s="44" t="s">
        <v>1230</v>
      </c>
      <c r="D347" s="1" t="s">
        <v>1230</v>
      </c>
      <c r="E347" s="1" t="s">
        <v>956</v>
      </c>
      <c r="F347" s="1" t="s">
        <v>956</v>
      </c>
    </row>
    <row r="348" spans="1:6" x14ac:dyDescent="0.2">
      <c r="A348" s="46" t="s">
        <v>956</v>
      </c>
    </row>
    <row r="349" spans="1:6" x14ac:dyDescent="0.2">
      <c r="A349" s="46" t="s">
        <v>1231</v>
      </c>
    </row>
    <row r="350" spans="1:6" x14ac:dyDescent="0.2">
      <c r="A350" s="44" t="s">
        <v>1232</v>
      </c>
      <c r="D350" s="1" t="s">
        <v>1232</v>
      </c>
      <c r="E350" s="1" t="s">
        <v>1233</v>
      </c>
      <c r="F350" s="1" t="s">
        <v>1233</v>
      </c>
    </row>
    <row r="351" spans="1:6" x14ac:dyDescent="0.2">
      <c r="A351" s="46" t="s">
        <v>1233</v>
      </c>
    </row>
    <row r="352" spans="1:6" x14ac:dyDescent="0.2">
      <c r="A352" s="46" t="s">
        <v>1234</v>
      </c>
    </row>
    <row r="353" spans="1:6" x14ac:dyDescent="0.2">
      <c r="A353" s="44" t="s">
        <v>1235</v>
      </c>
      <c r="D353" s="1" t="s">
        <v>1235</v>
      </c>
      <c r="E353" s="1" t="s">
        <v>1026</v>
      </c>
      <c r="F353" s="1" t="s">
        <v>1026</v>
      </c>
    </row>
    <row r="354" spans="1:6" x14ac:dyDescent="0.2">
      <c r="A354" s="46" t="s">
        <v>1026</v>
      </c>
    </row>
    <row r="355" spans="1:6" x14ac:dyDescent="0.2">
      <c r="A355" s="46" t="s">
        <v>1236</v>
      </c>
    </row>
    <row r="356" spans="1:6" x14ac:dyDescent="0.2">
      <c r="A356" s="44" t="s">
        <v>1237</v>
      </c>
      <c r="D356" s="1" t="s">
        <v>1237</v>
      </c>
      <c r="E356" s="1" t="s">
        <v>998</v>
      </c>
      <c r="F356" s="1" t="s">
        <v>998</v>
      </c>
    </row>
    <row r="357" spans="1:6" x14ac:dyDescent="0.2">
      <c r="A357" s="46" t="s">
        <v>998</v>
      </c>
    </row>
    <row r="358" spans="1:6" x14ac:dyDescent="0.2">
      <c r="A358" s="46" t="s">
        <v>1238</v>
      </c>
    </row>
    <row r="359" spans="1:6" x14ac:dyDescent="0.2">
      <c r="A359" s="44" t="s">
        <v>1239</v>
      </c>
      <c r="D359" s="1" t="s">
        <v>1239</v>
      </c>
      <c r="E359" s="1" t="s">
        <v>959</v>
      </c>
      <c r="F359" s="1" t="s">
        <v>959</v>
      </c>
    </row>
    <row r="360" spans="1:6" x14ac:dyDescent="0.2">
      <c r="A360" s="46" t="s">
        <v>959</v>
      </c>
    </row>
    <row r="361" spans="1:6" x14ac:dyDescent="0.2">
      <c r="A361" s="46" t="s">
        <v>1240</v>
      </c>
    </row>
    <row r="362" spans="1:6" x14ac:dyDescent="0.2">
      <c r="A362" s="44" t="s">
        <v>1241</v>
      </c>
      <c r="D362" s="1" t="s">
        <v>1241</v>
      </c>
      <c r="E362" s="1" t="s">
        <v>1242</v>
      </c>
      <c r="F362" s="1" t="s">
        <v>1242</v>
      </c>
    </row>
    <row r="363" spans="1:6" x14ac:dyDescent="0.2">
      <c r="A363" s="46" t="s">
        <v>1242</v>
      </c>
    </row>
    <row r="364" spans="1:6" x14ac:dyDescent="0.2">
      <c r="A364" s="46" t="s">
        <v>1243</v>
      </c>
    </row>
    <row r="365" spans="1:6" x14ac:dyDescent="0.2">
      <c r="A365" s="44" t="s">
        <v>1244</v>
      </c>
      <c r="D365" s="1" t="s">
        <v>1244</v>
      </c>
      <c r="E365" s="1" t="s">
        <v>1245</v>
      </c>
      <c r="F365" s="1" t="s">
        <v>1245</v>
      </c>
    </row>
    <row r="366" spans="1:6" x14ac:dyDescent="0.2">
      <c r="A366" s="46" t="s">
        <v>1245</v>
      </c>
    </row>
    <row r="367" spans="1:6" x14ac:dyDescent="0.2">
      <c r="A367" s="46" t="s">
        <v>1246</v>
      </c>
    </row>
    <row r="368" spans="1:6" x14ac:dyDescent="0.2">
      <c r="A368" s="44" t="s">
        <v>1247</v>
      </c>
      <c r="D368" s="1" t="s">
        <v>1247</v>
      </c>
      <c r="E368" s="1" t="s">
        <v>1220</v>
      </c>
      <c r="F368" s="1" t="s">
        <v>1220</v>
      </c>
    </row>
    <row r="369" spans="1:6" x14ac:dyDescent="0.2">
      <c r="A369" s="46" t="s">
        <v>1220</v>
      </c>
    </row>
    <row r="370" spans="1:6" x14ac:dyDescent="0.2">
      <c r="A370" s="46" t="s">
        <v>1248</v>
      </c>
    </row>
    <row r="371" spans="1:6" x14ac:dyDescent="0.2">
      <c r="A371" s="44" t="s">
        <v>1249</v>
      </c>
      <c r="D371" s="1" t="s">
        <v>1249</v>
      </c>
      <c r="E371" s="1" t="s">
        <v>942</v>
      </c>
      <c r="F371" s="1" t="s">
        <v>942</v>
      </c>
    </row>
    <row r="372" spans="1:6" x14ac:dyDescent="0.2">
      <c r="A372" s="46" t="s">
        <v>942</v>
      </c>
    </row>
    <row r="373" spans="1:6" x14ac:dyDescent="0.2">
      <c r="A373" s="46" t="s">
        <v>1250</v>
      </c>
    </row>
    <row r="374" spans="1:6" x14ac:dyDescent="0.2">
      <c r="A374" s="44" t="s">
        <v>1251</v>
      </c>
      <c r="D374" s="1" t="s">
        <v>1251</v>
      </c>
      <c r="E374" s="1" t="s">
        <v>1252</v>
      </c>
      <c r="F374" s="1" t="s">
        <v>1252</v>
      </c>
    </row>
    <row r="375" spans="1:6" x14ac:dyDescent="0.2">
      <c r="A375" s="46" t="s">
        <v>1252</v>
      </c>
    </row>
    <row r="376" spans="1:6" x14ac:dyDescent="0.2">
      <c r="A376" s="46" t="s">
        <v>1253</v>
      </c>
    </row>
    <row r="377" spans="1:6" x14ac:dyDescent="0.2">
      <c r="A377" s="44" t="s">
        <v>1254</v>
      </c>
      <c r="D377" s="1" t="s">
        <v>1254</v>
      </c>
      <c r="E377" s="1" t="s">
        <v>1087</v>
      </c>
      <c r="F377" s="1" t="s">
        <v>1087</v>
      </c>
    </row>
    <row r="378" spans="1:6" x14ac:dyDescent="0.2">
      <c r="A378" s="46" t="s">
        <v>1087</v>
      </c>
    </row>
    <row r="379" spans="1:6" x14ac:dyDescent="0.2">
      <c r="A379" s="46" t="s">
        <v>1255</v>
      </c>
    </row>
    <row r="380" spans="1:6" x14ac:dyDescent="0.2">
      <c r="A380" s="44" t="s">
        <v>1256</v>
      </c>
      <c r="D380" s="1" t="s">
        <v>1256</v>
      </c>
      <c r="E380" s="1" t="s">
        <v>1257</v>
      </c>
      <c r="F380" s="1" t="s">
        <v>1257</v>
      </c>
    </row>
    <row r="381" spans="1:6" x14ac:dyDescent="0.2">
      <c r="A381" s="46" t="s">
        <v>1257</v>
      </c>
    </row>
    <row r="382" spans="1:6" x14ac:dyDescent="0.2">
      <c r="A382" s="46" t="s">
        <v>1258</v>
      </c>
    </row>
    <row r="383" spans="1:6" x14ac:dyDescent="0.2">
      <c r="A383" s="44" t="s">
        <v>1259</v>
      </c>
      <c r="D383" s="1" t="s">
        <v>1259</v>
      </c>
      <c r="E383" s="1" t="s">
        <v>1260</v>
      </c>
      <c r="F383" s="1" t="s">
        <v>1260</v>
      </c>
    </row>
    <row r="384" spans="1:6" x14ac:dyDescent="0.2">
      <c r="A384" s="46" t="s">
        <v>1260</v>
      </c>
    </row>
    <row r="385" spans="1:6" x14ac:dyDescent="0.2">
      <c r="A385" s="46" t="s">
        <v>1261</v>
      </c>
    </row>
    <row r="386" spans="1:6" x14ac:dyDescent="0.2">
      <c r="A386" s="44" t="s">
        <v>1262</v>
      </c>
      <c r="D386" s="1" t="s">
        <v>1262</v>
      </c>
      <c r="E386" s="1" t="s">
        <v>927</v>
      </c>
      <c r="F386" s="1" t="s">
        <v>927</v>
      </c>
    </row>
    <row r="387" spans="1:6" x14ac:dyDescent="0.2">
      <c r="A387" s="46" t="s">
        <v>927</v>
      </c>
    </row>
    <row r="388" spans="1:6" x14ac:dyDescent="0.2">
      <c r="A388" s="46" t="s">
        <v>1263</v>
      </c>
    </row>
    <row r="389" spans="1:6" x14ac:dyDescent="0.2">
      <c r="A389" s="44" t="s">
        <v>1264</v>
      </c>
      <c r="D389" s="1" t="s">
        <v>1264</v>
      </c>
      <c r="E389" s="1" t="s">
        <v>1118</v>
      </c>
      <c r="F389" s="1" t="s">
        <v>1118</v>
      </c>
    </row>
    <row r="390" spans="1:6" x14ac:dyDescent="0.2">
      <c r="A390" s="46" t="s">
        <v>1118</v>
      </c>
    </row>
    <row r="391" spans="1:6" x14ac:dyDescent="0.2">
      <c r="A391" s="46" t="s">
        <v>1265</v>
      </c>
    </row>
    <row r="392" spans="1:6" x14ac:dyDescent="0.2">
      <c r="A392" s="44" t="s">
        <v>1266</v>
      </c>
      <c r="D392" s="1" t="s">
        <v>1266</v>
      </c>
      <c r="E392" s="1" t="s">
        <v>1118</v>
      </c>
      <c r="F392" s="1" t="s">
        <v>1118</v>
      </c>
    </row>
    <row r="393" spans="1:6" x14ac:dyDescent="0.2">
      <c r="A393" s="46" t="s">
        <v>1118</v>
      </c>
    </row>
    <row r="394" spans="1:6" x14ac:dyDescent="0.2">
      <c r="A394" s="46" t="s">
        <v>1267</v>
      </c>
    </row>
    <row r="395" spans="1:6" x14ac:dyDescent="0.2">
      <c r="A395" s="44" t="s">
        <v>1268</v>
      </c>
      <c r="D395" s="1" t="s">
        <v>1268</v>
      </c>
      <c r="E395" s="1" t="s">
        <v>1189</v>
      </c>
      <c r="F395" s="1" t="s">
        <v>1189</v>
      </c>
    </row>
    <row r="396" spans="1:6" x14ac:dyDescent="0.2">
      <c r="A396" s="46" t="s">
        <v>1189</v>
      </c>
    </row>
    <row r="397" spans="1:6" x14ac:dyDescent="0.2">
      <c r="A397" s="46" t="s">
        <v>1269</v>
      </c>
    </row>
    <row r="398" spans="1:6" x14ac:dyDescent="0.2">
      <c r="A398" s="44" t="s">
        <v>1270</v>
      </c>
      <c r="D398" s="1" t="s">
        <v>1270</v>
      </c>
      <c r="E398" s="1" t="s">
        <v>1271</v>
      </c>
      <c r="F398" s="1" t="s">
        <v>1271</v>
      </c>
    </row>
    <row r="399" spans="1:6" x14ac:dyDescent="0.2">
      <c r="A399" s="46" t="s">
        <v>1271</v>
      </c>
    </row>
    <row r="400" spans="1:6" x14ac:dyDescent="0.2">
      <c r="A400" s="46" t="s">
        <v>1007</v>
      </c>
    </row>
    <row r="401" spans="1:6" x14ac:dyDescent="0.2">
      <c r="A401" s="44" t="s">
        <v>1272</v>
      </c>
      <c r="D401" s="1" t="s">
        <v>1272</v>
      </c>
      <c r="E401" s="1" t="s">
        <v>1273</v>
      </c>
      <c r="F401" s="1" t="s">
        <v>1273</v>
      </c>
    </row>
    <row r="402" spans="1:6" x14ac:dyDescent="0.2">
      <c r="A402" s="46" t="s">
        <v>1273</v>
      </c>
    </row>
    <row r="403" spans="1:6" x14ac:dyDescent="0.2">
      <c r="A403" s="46" t="s">
        <v>1274</v>
      </c>
    </row>
    <row r="404" spans="1:6" x14ac:dyDescent="0.2">
      <c r="A404" s="44" t="s">
        <v>1275</v>
      </c>
      <c r="D404" s="1" t="s">
        <v>1275</v>
      </c>
      <c r="E404" s="1" t="s">
        <v>962</v>
      </c>
      <c r="F404" s="1" t="s">
        <v>962</v>
      </c>
    </row>
    <row r="405" spans="1:6" x14ac:dyDescent="0.2">
      <c r="A405" s="46" t="s">
        <v>962</v>
      </c>
    </row>
    <row r="406" spans="1:6" x14ac:dyDescent="0.2">
      <c r="A406" s="46" t="s">
        <v>1276</v>
      </c>
    </row>
    <row r="407" spans="1:6" x14ac:dyDescent="0.2">
      <c r="A407" s="44" t="s">
        <v>1277</v>
      </c>
      <c r="D407" s="1" t="s">
        <v>1277</v>
      </c>
      <c r="E407" s="1" t="s">
        <v>927</v>
      </c>
      <c r="F407" s="1" t="s">
        <v>927</v>
      </c>
    </row>
    <row r="408" spans="1:6" x14ac:dyDescent="0.2">
      <c r="A408" s="46" t="s">
        <v>927</v>
      </c>
    </row>
    <row r="409" spans="1:6" x14ac:dyDescent="0.2">
      <c r="A409" s="46" t="s">
        <v>1278</v>
      </c>
    </row>
    <row r="410" spans="1:6" x14ac:dyDescent="0.2">
      <c r="A410" s="44" t="s">
        <v>1279</v>
      </c>
      <c r="D410" s="1" t="s">
        <v>1279</v>
      </c>
      <c r="E410" s="1" t="s">
        <v>927</v>
      </c>
      <c r="F410" s="1" t="s">
        <v>927</v>
      </c>
    </row>
    <row r="411" spans="1:6" x14ac:dyDescent="0.2">
      <c r="A411" s="46" t="s">
        <v>927</v>
      </c>
    </row>
    <row r="412" spans="1:6" x14ac:dyDescent="0.2">
      <c r="A412" s="46" t="s">
        <v>1280</v>
      </c>
    </row>
    <row r="413" spans="1:6" x14ac:dyDescent="0.2">
      <c r="A413" s="44" t="s">
        <v>1281</v>
      </c>
      <c r="D413" s="1" t="s">
        <v>1281</v>
      </c>
      <c r="E413" s="1" t="s">
        <v>951</v>
      </c>
      <c r="F413" s="1" t="s">
        <v>951</v>
      </c>
    </row>
    <row r="414" spans="1:6" x14ac:dyDescent="0.2">
      <c r="A414" s="46" t="s">
        <v>951</v>
      </c>
    </row>
    <row r="415" spans="1:6" x14ac:dyDescent="0.2">
      <c r="A415" s="46" t="s">
        <v>1282</v>
      </c>
    </row>
    <row r="416" spans="1:6" x14ac:dyDescent="0.2">
      <c r="A416" s="44" t="s">
        <v>1283</v>
      </c>
      <c r="D416" s="1" t="s">
        <v>1283</v>
      </c>
      <c r="E416" s="1" t="s">
        <v>1284</v>
      </c>
      <c r="F416" s="1" t="s">
        <v>1284</v>
      </c>
    </row>
    <row r="417" spans="1:6" x14ac:dyDescent="0.2">
      <c r="A417" s="46" t="s">
        <v>1284</v>
      </c>
    </row>
    <row r="418" spans="1:6" x14ac:dyDescent="0.2">
      <c r="A418" s="46" t="s">
        <v>1285</v>
      </c>
    </row>
    <row r="419" spans="1:6" x14ac:dyDescent="0.2">
      <c r="A419" s="44" t="s">
        <v>1286</v>
      </c>
      <c r="D419" s="1" t="s">
        <v>1286</v>
      </c>
      <c r="E419" s="1" t="s">
        <v>1039</v>
      </c>
      <c r="F419" s="1" t="s">
        <v>1039</v>
      </c>
    </row>
    <row r="420" spans="1:6" x14ac:dyDescent="0.2">
      <c r="A420" s="46" t="s">
        <v>1039</v>
      </c>
    </row>
    <row r="421" spans="1:6" x14ac:dyDescent="0.2">
      <c r="A421" s="46" t="s">
        <v>1287</v>
      </c>
    </row>
    <row r="422" spans="1:6" x14ac:dyDescent="0.2">
      <c r="A422" s="44" t="s">
        <v>1288</v>
      </c>
      <c r="D422" s="1" t="s">
        <v>1288</v>
      </c>
      <c r="E422" s="1" t="s">
        <v>1289</v>
      </c>
      <c r="F422" s="1" t="s">
        <v>1289</v>
      </c>
    </row>
    <row r="423" spans="1:6" x14ac:dyDescent="0.2">
      <c r="A423" s="46" t="s">
        <v>1289</v>
      </c>
    </row>
    <row r="424" spans="1:6" x14ac:dyDescent="0.2">
      <c r="A424" s="46" t="s">
        <v>1290</v>
      </c>
    </row>
    <row r="425" spans="1:6" x14ac:dyDescent="0.2">
      <c r="A425" s="44" t="s">
        <v>1291</v>
      </c>
      <c r="D425" s="1" t="s">
        <v>1291</v>
      </c>
      <c r="E425" s="1" t="s">
        <v>1292</v>
      </c>
      <c r="F425" s="1" t="s">
        <v>1292</v>
      </c>
    </row>
    <row r="426" spans="1:6" x14ac:dyDescent="0.2">
      <c r="A426" s="46" t="s">
        <v>1292</v>
      </c>
    </row>
    <row r="427" spans="1:6" x14ac:dyDescent="0.2">
      <c r="A427" s="46" t="s">
        <v>1293</v>
      </c>
    </row>
    <row r="428" spans="1:6" x14ac:dyDescent="0.2">
      <c r="A428" s="44" t="s">
        <v>1294</v>
      </c>
      <c r="D428" s="1" t="s">
        <v>1294</v>
      </c>
      <c r="E428" s="1" t="s">
        <v>1295</v>
      </c>
      <c r="F428" s="1" t="s">
        <v>1295</v>
      </c>
    </row>
    <row r="429" spans="1:6" x14ac:dyDescent="0.2">
      <c r="A429" s="46" t="s">
        <v>1295</v>
      </c>
    </row>
    <row r="430" spans="1:6" x14ac:dyDescent="0.2">
      <c r="A430" s="46" t="s">
        <v>1296</v>
      </c>
    </row>
    <row r="431" spans="1:6" x14ac:dyDescent="0.2">
      <c r="A431" s="44" t="s">
        <v>1297</v>
      </c>
      <c r="D431" s="1" t="s">
        <v>1297</v>
      </c>
      <c r="E431" s="1" t="s">
        <v>956</v>
      </c>
      <c r="F431" s="1" t="s">
        <v>956</v>
      </c>
    </row>
    <row r="432" spans="1:6" x14ac:dyDescent="0.2">
      <c r="A432" s="46" t="s">
        <v>956</v>
      </c>
    </row>
    <row r="433" spans="1:6" x14ac:dyDescent="0.2">
      <c r="A433" s="46" t="s">
        <v>1298</v>
      </c>
    </row>
    <row r="434" spans="1:6" x14ac:dyDescent="0.2">
      <c r="A434" s="44" t="s">
        <v>1299</v>
      </c>
      <c r="D434" s="1" t="s">
        <v>1299</v>
      </c>
      <c r="E434" s="1" t="s">
        <v>1078</v>
      </c>
      <c r="F434" s="1" t="s">
        <v>1078</v>
      </c>
    </row>
    <row r="435" spans="1:6" x14ac:dyDescent="0.2">
      <c r="A435" s="46" t="s">
        <v>1078</v>
      </c>
    </row>
    <row r="436" spans="1:6" x14ac:dyDescent="0.2">
      <c r="A436" s="46" t="s">
        <v>1300</v>
      </c>
    </row>
    <row r="437" spans="1:6" x14ac:dyDescent="0.2">
      <c r="A437" s="44" t="s">
        <v>1301</v>
      </c>
      <c r="D437" s="1" t="s">
        <v>1301</v>
      </c>
      <c r="E437" s="1" t="s">
        <v>1302</v>
      </c>
      <c r="F437" s="1" t="s">
        <v>1302</v>
      </c>
    </row>
    <row r="438" spans="1:6" x14ac:dyDescent="0.2">
      <c r="A438" s="46" t="s">
        <v>1302</v>
      </c>
    </row>
    <row r="439" spans="1:6" x14ac:dyDescent="0.2">
      <c r="A439" s="46" t="s">
        <v>1303</v>
      </c>
    </row>
    <row r="440" spans="1:6" x14ac:dyDescent="0.2">
      <c r="A440" s="44" t="s">
        <v>1304</v>
      </c>
      <c r="D440" s="1" t="s">
        <v>1304</v>
      </c>
      <c r="E440" s="1" t="s">
        <v>939</v>
      </c>
      <c r="F440" s="1" t="s">
        <v>939</v>
      </c>
    </row>
    <row r="441" spans="1:6" x14ac:dyDescent="0.2">
      <c r="A441" s="46" t="s">
        <v>939</v>
      </c>
    </row>
    <row r="442" spans="1:6" x14ac:dyDescent="0.2">
      <c r="A442" s="46" t="s">
        <v>1305</v>
      </c>
    </row>
    <row r="443" spans="1:6" x14ac:dyDescent="0.2">
      <c r="A443" s="44" t="s">
        <v>1306</v>
      </c>
      <c r="D443" s="1" t="s">
        <v>1306</v>
      </c>
      <c r="E443" s="1" t="s">
        <v>1307</v>
      </c>
      <c r="F443" s="1" t="s">
        <v>1307</v>
      </c>
    </row>
    <row r="444" spans="1:6" x14ac:dyDescent="0.2">
      <c r="A444" s="46" t="s">
        <v>1307</v>
      </c>
    </row>
    <row r="445" spans="1:6" x14ac:dyDescent="0.2">
      <c r="A445" s="46" t="s">
        <v>1034</v>
      </c>
    </row>
    <row r="446" spans="1:6" x14ac:dyDescent="0.2">
      <c r="A446" s="44" t="s">
        <v>1308</v>
      </c>
      <c r="D446" s="1" t="s">
        <v>1308</v>
      </c>
      <c r="E446" s="1" t="s">
        <v>1309</v>
      </c>
      <c r="F446" s="1" t="s">
        <v>1309</v>
      </c>
    </row>
    <row r="447" spans="1:6" x14ac:dyDescent="0.2">
      <c r="A447" s="46" t="s">
        <v>1309</v>
      </c>
    </row>
    <row r="448" spans="1:6" x14ac:dyDescent="0.2">
      <c r="A448" s="46" t="s">
        <v>1310</v>
      </c>
    </row>
    <row r="449" spans="1:6" x14ac:dyDescent="0.2">
      <c r="A449" s="44" t="s">
        <v>1311</v>
      </c>
      <c r="D449" s="1" t="s">
        <v>1311</v>
      </c>
      <c r="E449" s="1" t="s">
        <v>1312</v>
      </c>
      <c r="F449" s="1" t="s">
        <v>1312</v>
      </c>
    </row>
    <row r="450" spans="1:6" x14ac:dyDescent="0.2">
      <c r="A450" s="46" t="s">
        <v>1312</v>
      </c>
    </row>
    <row r="451" spans="1:6" x14ac:dyDescent="0.2">
      <c r="A451" s="46" t="s">
        <v>1313</v>
      </c>
    </row>
    <row r="452" spans="1:6" x14ac:dyDescent="0.2">
      <c r="A452" s="44" t="s">
        <v>1314</v>
      </c>
      <c r="D452" s="1" t="s">
        <v>1314</v>
      </c>
      <c r="E452" s="1" t="s">
        <v>956</v>
      </c>
      <c r="F452" s="1" t="s">
        <v>956</v>
      </c>
    </row>
    <row r="453" spans="1:6" x14ac:dyDescent="0.2">
      <c r="A453" s="46" t="s">
        <v>956</v>
      </c>
    </row>
    <row r="454" spans="1:6" x14ac:dyDescent="0.2">
      <c r="A454" s="46" t="s">
        <v>1315</v>
      </c>
    </row>
    <row r="455" spans="1:6" x14ac:dyDescent="0.2">
      <c r="A455" s="44" t="s">
        <v>1316</v>
      </c>
      <c r="D455" s="1" t="s">
        <v>1316</v>
      </c>
      <c r="E455" s="1" t="s">
        <v>927</v>
      </c>
      <c r="F455" s="1" t="s">
        <v>927</v>
      </c>
    </row>
    <row r="456" spans="1:6" x14ac:dyDescent="0.2">
      <c r="A456" s="46" t="s">
        <v>927</v>
      </c>
    </row>
    <row r="457" spans="1:6" x14ac:dyDescent="0.2">
      <c r="A457" s="46" t="s">
        <v>1317</v>
      </c>
    </row>
    <row r="458" spans="1:6" x14ac:dyDescent="0.2">
      <c r="A458" s="44" t="s">
        <v>1318</v>
      </c>
      <c r="D458" s="1" t="s">
        <v>1318</v>
      </c>
      <c r="E458" s="1" t="s">
        <v>1319</v>
      </c>
      <c r="F458" s="1" t="s">
        <v>1319</v>
      </c>
    </row>
    <row r="459" spans="1:6" x14ac:dyDescent="0.2">
      <c r="A459" s="46" t="s">
        <v>1319</v>
      </c>
    </row>
    <row r="460" spans="1:6" x14ac:dyDescent="0.2">
      <c r="A460" s="46" t="s">
        <v>1320</v>
      </c>
    </row>
    <row r="461" spans="1:6" x14ac:dyDescent="0.2">
      <c r="A461" s="44" t="s">
        <v>1321</v>
      </c>
      <c r="D461" s="1" t="s">
        <v>1321</v>
      </c>
      <c r="E461" s="1" t="s">
        <v>1322</v>
      </c>
      <c r="F461" s="1" t="s">
        <v>1322</v>
      </c>
    </row>
    <row r="462" spans="1:6" x14ac:dyDescent="0.2">
      <c r="A462" s="46" t="s">
        <v>1322</v>
      </c>
    </row>
    <row r="463" spans="1:6" x14ac:dyDescent="0.2">
      <c r="A463" s="46" t="s">
        <v>1323</v>
      </c>
    </row>
    <row r="464" spans="1:6" x14ac:dyDescent="0.2">
      <c r="A464" s="44" t="s">
        <v>1324</v>
      </c>
      <c r="D464" s="1" t="s">
        <v>1324</v>
      </c>
      <c r="E464" s="1" t="s">
        <v>927</v>
      </c>
      <c r="F464" s="1" t="s">
        <v>927</v>
      </c>
    </row>
    <row r="465" spans="1:6" x14ac:dyDescent="0.2">
      <c r="A465" s="46" t="s">
        <v>927</v>
      </c>
    </row>
    <row r="466" spans="1:6" x14ac:dyDescent="0.2">
      <c r="A466" s="46" t="s">
        <v>1325</v>
      </c>
    </row>
    <row r="467" spans="1:6" x14ac:dyDescent="0.2">
      <c r="A467" s="44" t="s">
        <v>1326</v>
      </c>
      <c r="D467" s="1" t="s">
        <v>1326</v>
      </c>
      <c r="E467" s="1" t="s">
        <v>956</v>
      </c>
      <c r="F467" s="1" t="s">
        <v>956</v>
      </c>
    </row>
    <row r="468" spans="1:6" x14ac:dyDescent="0.2">
      <c r="A468" s="46" t="s">
        <v>956</v>
      </c>
    </row>
    <row r="469" spans="1:6" x14ac:dyDescent="0.2">
      <c r="A469" s="46" t="s">
        <v>1327</v>
      </c>
    </row>
    <row r="470" spans="1:6" x14ac:dyDescent="0.2">
      <c r="A470" s="44" t="s">
        <v>1328</v>
      </c>
      <c r="D470" s="1" t="s">
        <v>1328</v>
      </c>
      <c r="E470" s="1" t="s">
        <v>1329</v>
      </c>
      <c r="F470" s="1" t="s">
        <v>1329</v>
      </c>
    </row>
    <row r="471" spans="1:6" x14ac:dyDescent="0.2">
      <c r="A471" s="46" t="s">
        <v>1329</v>
      </c>
    </row>
    <row r="472" spans="1:6" x14ac:dyDescent="0.2">
      <c r="A472" s="46" t="s">
        <v>1330</v>
      </c>
    </row>
    <row r="473" spans="1:6" x14ac:dyDescent="0.2">
      <c r="A473" s="44" t="s">
        <v>1331</v>
      </c>
      <c r="D473" s="1" t="s">
        <v>1331</v>
      </c>
      <c r="E473" s="1" t="s">
        <v>1289</v>
      </c>
      <c r="F473" s="1" t="s">
        <v>1289</v>
      </c>
    </row>
    <row r="474" spans="1:6" x14ac:dyDescent="0.2">
      <c r="A474" s="46" t="s">
        <v>1289</v>
      </c>
    </row>
    <row r="475" spans="1:6" x14ac:dyDescent="0.2">
      <c r="A475" s="46" t="s">
        <v>1332</v>
      </c>
    </row>
    <row r="476" spans="1:6" x14ac:dyDescent="0.2">
      <c r="A476" s="44" t="s">
        <v>1333</v>
      </c>
      <c r="D476" s="1" t="s">
        <v>1333</v>
      </c>
      <c r="E476" s="1" t="s">
        <v>956</v>
      </c>
      <c r="F476" s="1" t="s">
        <v>956</v>
      </c>
    </row>
    <row r="477" spans="1:6" x14ac:dyDescent="0.2">
      <c r="A477" s="46" t="s">
        <v>956</v>
      </c>
    </row>
    <row r="478" spans="1:6" x14ac:dyDescent="0.2">
      <c r="A478" s="46" t="s">
        <v>1334</v>
      </c>
    </row>
    <row r="479" spans="1:6" x14ac:dyDescent="0.2">
      <c r="A479" s="44" t="s">
        <v>1335</v>
      </c>
      <c r="D479" s="1" t="s">
        <v>1335</v>
      </c>
      <c r="E479" s="1" t="s">
        <v>1336</v>
      </c>
      <c r="F479" s="1" t="s">
        <v>1336</v>
      </c>
    </row>
    <row r="480" spans="1:6" x14ac:dyDescent="0.2">
      <c r="A480" s="46" t="s">
        <v>1336</v>
      </c>
    </row>
    <row r="481" spans="1:6" x14ac:dyDescent="0.2">
      <c r="A481" s="46" t="s">
        <v>1337</v>
      </c>
    </row>
    <row r="482" spans="1:6" x14ac:dyDescent="0.2">
      <c r="A482" s="44" t="s">
        <v>1338</v>
      </c>
      <c r="D482" s="1" t="s">
        <v>1338</v>
      </c>
      <c r="E482" s="1" t="s">
        <v>1273</v>
      </c>
      <c r="F482" s="1" t="s">
        <v>1273</v>
      </c>
    </row>
    <row r="483" spans="1:6" x14ac:dyDescent="0.2">
      <c r="A483" s="46" t="s">
        <v>1273</v>
      </c>
    </row>
    <row r="484" spans="1:6" x14ac:dyDescent="0.2">
      <c r="A484" s="46" t="s">
        <v>1339</v>
      </c>
    </row>
    <row r="485" spans="1:6" x14ac:dyDescent="0.2">
      <c r="A485" s="44" t="s">
        <v>1340</v>
      </c>
      <c r="D485" s="1" t="s">
        <v>1340</v>
      </c>
      <c r="E485" s="1" t="s">
        <v>1233</v>
      </c>
      <c r="F485" s="1" t="s">
        <v>1233</v>
      </c>
    </row>
    <row r="486" spans="1:6" x14ac:dyDescent="0.2">
      <c r="A486" s="46" t="s">
        <v>1233</v>
      </c>
    </row>
    <row r="487" spans="1:6" x14ac:dyDescent="0.2">
      <c r="A487" s="46" t="s">
        <v>1341</v>
      </c>
    </row>
    <row r="488" spans="1:6" x14ac:dyDescent="0.2">
      <c r="A488" s="44" t="s">
        <v>1342</v>
      </c>
      <c r="D488" s="1" t="s">
        <v>1342</v>
      </c>
      <c r="E488" s="1" t="s">
        <v>1233</v>
      </c>
      <c r="F488" s="1" t="s">
        <v>1233</v>
      </c>
    </row>
    <row r="489" spans="1:6" x14ac:dyDescent="0.2">
      <c r="A489" s="46" t="s">
        <v>1233</v>
      </c>
    </row>
    <row r="490" spans="1:6" x14ac:dyDescent="0.2">
      <c r="A490" s="46" t="s">
        <v>1343</v>
      </c>
    </row>
    <row r="491" spans="1:6" x14ac:dyDescent="0.2">
      <c r="A491" s="44" t="s">
        <v>1344</v>
      </c>
      <c r="D491" s="1" t="s">
        <v>1344</v>
      </c>
      <c r="E491" s="1" t="s">
        <v>956</v>
      </c>
      <c r="F491" s="1" t="s">
        <v>956</v>
      </c>
    </row>
    <row r="492" spans="1:6" x14ac:dyDescent="0.2">
      <c r="A492" s="46" t="s">
        <v>956</v>
      </c>
    </row>
    <row r="493" spans="1:6" x14ac:dyDescent="0.2">
      <c r="A493" s="46" t="s">
        <v>1345</v>
      </c>
    </row>
    <row r="494" spans="1:6" x14ac:dyDescent="0.2">
      <c r="A494" s="44" t="s">
        <v>1346</v>
      </c>
      <c r="D494" s="1" t="s">
        <v>1346</v>
      </c>
      <c r="E494" s="1" t="s">
        <v>1347</v>
      </c>
      <c r="F494" s="1" t="s">
        <v>1347</v>
      </c>
    </row>
    <row r="495" spans="1:6" x14ac:dyDescent="0.2">
      <c r="A495" s="46" t="s">
        <v>1347</v>
      </c>
    </row>
    <row r="496" spans="1:6" x14ac:dyDescent="0.2">
      <c r="A496" s="46" t="s">
        <v>1258</v>
      </c>
    </row>
    <row r="497" spans="1:6" x14ac:dyDescent="0.2">
      <c r="A497" s="44" t="s">
        <v>1348</v>
      </c>
      <c r="D497" s="1" t="s">
        <v>1348</v>
      </c>
      <c r="E497" s="1" t="s">
        <v>1349</v>
      </c>
      <c r="F497" s="1" t="s">
        <v>1349</v>
      </c>
    </row>
    <row r="498" spans="1:6" x14ac:dyDescent="0.2">
      <c r="A498" s="46" t="s">
        <v>1349</v>
      </c>
    </row>
    <row r="499" spans="1:6" x14ac:dyDescent="0.2">
      <c r="A499" s="46" t="s">
        <v>1350</v>
      </c>
    </row>
    <row r="500" spans="1:6" x14ac:dyDescent="0.2">
      <c r="A500" s="44" t="s">
        <v>1351</v>
      </c>
      <c r="D500" s="1" t="s">
        <v>1351</v>
      </c>
      <c r="E500" s="1" t="s">
        <v>1352</v>
      </c>
      <c r="F500" s="1" t="s">
        <v>1352</v>
      </c>
    </row>
    <row r="501" spans="1:6" x14ac:dyDescent="0.2">
      <c r="A501" s="46" t="s">
        <v>1352</v>
      </c>
    </row>
    <row r="502" spans="1:6" x14ac:dyDescent="0.2">
      <c r="A502" s="46" t="s">
        <v>1353</v>
      </c>
    </row>
    <row r="503" spans="1:6" x14ac:dyDescent="0.2">
      <c r="A503" s="44" t="s">
        <v>1354</v>
      </c>
      <c r="D503" s="1" t="s">
        <v>1354</v>
      </c>
      <c r="E503" s="1" t="s">
        <v>1355</v>
      </c>
      <c r="F503" s="1" t="s">
        <v>1355</v>
      </c>
    </row>
    <row r="504" spans="1:6" x14ac:dyDescent="0.2">
      <c r="A504" s="46" t="s">
        <v>1355</v>
      </c>
    </row>
    <row r="505" spans="1:6" x14ac:dyDescent="0.2">
      <c r="A505" s="46" t="s">
        <v>1356</v>
      </c>
    </row>
    <row r="506" spans="1:6" x14ac:dyDescent="0.2">
      <c r="A506" s="44" t="s">
        <v>1357</v>
      </c>
      <c r="D506" s="1" t="s">
        <v>1357</v>
      </c>
      <c r="E506" s="1" t="s">
        <v>1026</v>
      </c>
      <c r="F506" s="1" t="s">
        <v>1026</v>
      </c>
    </row>
    <row r="507" spans="1:6" x14ac:dyDescent="0.2">
      <c r="A507" s="46" t="s">
        <v>1026</v>
      </c>
    </row>
    <row r="508" spans="1:6" x14ac:dyDescent="0.2">
      <c r="A508" s="46" t="s">
        <v>1358</v>
      </c>
    </row>
    <row r="509" spans="1:6" x14ac:dyDescent="0.2">
      <c r="A509" s="44" t="s">
        <v>1359</v>
      </c>
      <c r="D509" s="1" t="s">
        <v>1359</v>
      </c>
      <c r="E509" s="1" t="s">
        <v>991</v>
      </c>
      <c r="F509" s="1" t="s">
        <v>991</v>
      </c>
    </row>
    <row r="510" spans="1:6" x14ac:dyDescent="0.2">
      <c r="A510" s="46" t="s">
        <v>991</v>
      </c>
    </row>
    <row r="511" spans="1:6" x14ac:dyDescent="0.2">
      <c r="A511" s="46" t="s">
        <v>992</v>
      </c>
    </row>
    <row r="512" spans="1:6" x14ac:dyDescent="0.2">
      <c r="A512" s="44" t="s">
        <v>1360</v>
      </c>
      <c r="D512" s="1" t="s">
        <v>1360</v>
      </c>
      <c r="E512" s="1" t="s">
        <v>956</v>
      </c>
      <c r="F512" s="1" t="s">
        <v>956</v>
      </c>
    </row>
    <row r="513" spans="1:6" x14ac:dyDescent="0.2">
      <c r="A513" s="46" t="s">
        <v>956</v>
      </c>
    </row>
    <row r="514" spans="1:6" x14ac:dyDescent="0.2">
      <c r="A514" s="46" t="s">
        <v>1361</v>
      </c>
    </row>
    <row r="515" spans="1:6" x14ac:dyDescent="0.2">
      <c r="A515" s="44" t="s">
        <v>1362</v>
      </c>
      <c r="D515" s="1" t="s">
        <v>1362</v>
      </c>
      <c r="E515" s="1" t="s">
        <v>1319</v>
      </c>
      <c r="F515" s="1" t="s">
        <v>1319</v>
      </c>
    </row>
    <row r="516" spans="1:6" x14ac:dyDescent="0.2">
      <c r="A516" s="46" t="s">
        <v>1319</v>
      </c>
    </row>
    <row r="517" spans="1:6" x14ac:dyDescent="0.2">
      <c r="A517" s="46" t="s">
        <v>1363</v>
      </c>
    </row>
    <row r="518" spans="1:6" x14ac:dyDescent="0.2">
      <c r="A518" s="44" t="s">
        <v>1364</v>
      </c>
      <c r="D518" s="1" t="s">
        <v>1364</v>
      </c>
      <c r="E518" s="1" t="s">
        <v>1365</v>
      </c>
      <c r="F518" s="1" t="s">
        <v>1365</v>
      </c>
    </row>
    <row r="519" spans="1:6" x14ac:dyDescent="0.2">
      <c r="A519" s="46" t="s">
        <v>1365</v>
      </c>
    </row>
    <row r="520" spans="1:6" x14ac:dyDescent="0.2">
      <c r="A520" s="46" t="s">
        <v>1366</v>
      </c>
    </row>
    <row r="521" spans="1:6" x14ac:dyDescent="0.2">
      <c r="A521" s="44" t="s">
        <v>1367</v>
      </c>
      <c r="D521" s="1" t="s">
        <v>1367</v>
      </c>
      <c r="E521" s="1" t="s">
        <v>1368</v>
      </c>
      <c r="F521" s="1" t="s">
        <v>1368</v>
      </c>
    </row>
    <row r="522" spans="1:6" x14ac:dyDescent="0.2">
      <c r="A522" s="46" t="s">
        <v>1368</v>
      </c>
    </row>
    <row r="523" spans="1:6" x14ac:dyDescent="0.2">
      <c r="A523" s="46" t="s">
        <v>1369</v>
      </c>
    </row>
    <row r="524" spans="1:6" x14ac:dyDescent="0.2">
      <c r="A524" s="44" t="s">
        <v>1370</v>
      </c>
      <c r="D524" s="1" t="s">
        <v>1370</v>
      </c>
      <c r="E524" s="1" t="s">
        <v>1026</v>
      </c>
      <c r="F524" s="1" t="s">
        <v>1026</v>
      </c>
    </row>
    <row r="525" spans="1:6" x14ac:dyDescent="0.2">
      <c r="A525" s="46" t="s">
        <v>1026</v>
      </c>
    </row>
    <row r="526" spans="1:6" x14ac:dyDescent="0.2">
      <c r="A526" s="46" t="s">
        <v>1371</v>
      </c>
    </row>
    <row r="527" spans="1:6" x14ac:dyDescent="0.2">
      <c r="A527" s="44" t="s">
        <v>1372</v>
      </c>
      <c r="D527" s="1" t="s">
        <v>1372</v>
      </c>
      <c r="E527" s="1" t="s">
        <v>1197</v>
      </c>
      <c r="F527" s="1" t="s">
        <v>1197</v>
      </c>
    </row>
    <row r="528" spans="1:6" x14ac:dyDescent="0.2">
      <c r="A528" s="46" t="s">
        <v>1197</v>
      </c>
    </row>
    <row r="529" spans="1:6" x14ac:dyDescent="0.2">
      <c r="A529" s="46" t="s">
        <v>1373</v>
      </c>
    </row>
    <row r="530" spans="1:6" x14ac:dyDescent="0.2">
      <c r="A530" s="44" t="s">
        <v>1374</v>
      </c>
      <c r="D530" s="1" t="s">
        <v>1374</v>
      </c>
      <c r="E530" s="1" t="s">
        <v>1375</v>
      </c>
      <c r="F530" s="1" t="s">
        <v>1375</v>
      </c>
    </row>
    <row r="531" spans="1:6" x14ac:dyDescent="0.2">
      <c r="A531" s="46" t="s">
        <v>1375</v>
      </c>
    </row>
    <row r="532" spans="1:6" x14ac:dyDescent="0.2">
      <c r="A532" s="46" t="s">
        <v>1376</v>
      </c>
    </row>
    <row r="533" spans="1:6" x14ac:dyDescent="0.2">
      <c r="A533" s="44" t="s">
        <v>1377</v>
      </c>
      <c r="D533" s="1" t="s">
        <v>1377</v>
      </c>
      <c r="E533" s="1" t="s">
        <v>1378</v>
      </c>
      <c r="F533" s="1" t="s">
        <v>1378</v>
      </c>
    </row>
    <row r="534" spans="1:6" x14ac:dyDescent="0.2">
      <c r="A534" s="46" t="s">
        <v>1378</v>
      </c>
    </row>
    <row r="535" spans="1:6" x14ac:dyDescent="0.2">
      <c r="A535" s="46" t="s">
        <v>1379</v>
      </c>
    </row>
    <row r="536" spans="1:6" x14ac:dyDescent="0.2">
      <c r="A536" s="44" t="s">
        <v>1380</v>
      </c>
      <c r="D536" s="1" t="s">
        <v>1380</v>
      </c>
      <c r="E536" s="1" t="s">
        <v>1295</v>
      </c>
      <c r="F536" s="1" t="s">
        <v>1295</v>
      </c>
    </row>
    <row r="537" spans="1:6" x14ac:dyDescent="0.2">
      <c r="A537" s="46" t="s">
        <v>1295</v>
      </c>
    </row>
    <row r="538" spans="1:6" x14ac:dyDescent="0.2">
      <c r="A538" s="46" t="s">
        <v>1381</v>
      </c>
    </row>
    <row r="539" spans="1:6" x14ac:dyDescent="0.2">
      <c r="A539" s="44" t="s">
        <v>1382</v>
      </c>
      <c r="D539" s="1" t="s">
        <v>1382</v>
      </c>
      <c r="E539" s="1" t="s">
        <v>1383</v>
      </c>
      <c r="F539" s="1" t="s">
        <v>1383</v>
      </c>
    </row>
    <row r="540" spans="1:6" x14ac:dyDescent="0.2">
      <c r="A540" s="46" t="s">
        <v>1383</v>
      </c>
    </row>
    <row r="541" spans="1:6" x14ac:dyDescent="0.2">
      <c r="A541" s="46" t="s">
        <v>1384</v>
      </c>
    </row>
    <row r="542" spans="1:6" x14ac:dyDescent="0.2">
      <c r="A542" s="44" t="s">
        <v>1385</v>
      </c>
      <c r="D542" s="1" t="s">
        <v>1385</v>
      </c>
      <c r="E542" s="1" t="s">
        <v>1386</v>
      </c>
      <c r="F542" s="1" t="s">
        <v>1386</v>
      </c>
    </row>
    <row r="543" spans="1:6" x14ac:dyDescent="0.2">
      <c r="A543" s="46" t="s">
        <v>1386</v>
      </c>
    </row>
    <row r="544" spans="1:6" x14ac:dyDescent="0.2">
      <c r="A544" s="46" t="s">
        <v>1387</v>
      </c>
    </row>
    <row r="545" spans="1:6" x14ac:dyDescent="0.2">
      <c r="A545" s="44" t="s">
        <v>1388</v>
      </c>
      <c r="D545" s="1" t="s">
        <v>1388</v>
      </c>
      <c r="E545" s="1" t="s">
        <v>1389</v>
      </c>
      <c r="F545" s="1" t="s">
        <v>1389</v>
      </c>
    </row>
    <row r="546" spans="1:6" x14ac:dyDescent="0.2">
      <c r="A546" s="46" t="s">
        <v>1389</v>
      </c>
    </row>
    <row r="547" spans="1:6" x14ac:dyDescent="0.2">
      <c r="A547" s="46" t="s">
        <v>1390</v>
      </c>
    </row>
    <row r="548" spans="1:6" x14ac:dyDescent="0.2">
      <c r="A548" s="44" t="s">
        <v>1391</v>
      </c>
      <c r="D548" s="1" t="s">
        <v>1391</v>
      </c>
      <c r="E548" s="1" t="s">
        <v>956</v>
      </c>
      <c r="F548" s="1" t="s">
        <v>956</v>
      </c>
    </row>
    <row r="549" spans="1:6" x14ac:dyDescent="0.2">
      <c r="A549" s="46" t="s">
        <v>956</v>
      </c>
    </row>
    <row r="550" spans="1:6" x14ac:dyDescent="0.2">
      <c r="A550" s="46" t="s">
        <v>1392</v>
      </c>
    </row>
    <row r="551" spans="1:6" x14ac:dyDescent="0.2">
      <c r="A551" s="44" t="s">
        <v>1393</v>
      </c>
      <c r="D551" s="1" t="s">
        <v>1393</v>
      </c>
      <c r="E551" s="1" t="s">
        <v>1394</v>
      </c>
      <c r="F551" s="1" t="s">
        <v>1394</v>
      </c>
    </row>
    <row r="552" spans="1:6" x14ac:dyDescent="0.2">
      <c r="A552" s="46" t="s">
        <v>1394</v>
      </c>
    </row>
    <row r="553" spans="1:6" x14ac:dyDescent="0.2">
      <c r="A553" s="46" t="s">
        <v>1395</v>
      </c>
    </row>
    <row r="554" spans="1:6" x14ac:dyDescent="0.2">
      <c r="A554" s="44" t="s">
        <v>1396</v>
      </c>
      <c r="D554" s="1" t="s">
        <v>1396</v>
      </c>
      <c r="E554" s="1" t="s">
        <v>927</v>
      </c>
      <c r="F554" s="1" t="s">
        <v>927</v>
      </c>
    </row>
    <row r="555" spans="1:6" x14ac:dyDescent="0.2">
      <c r="A555" s="46" t="s">
        <v>927</v>
      </c>
    </row>
    <row r="556" spans="1:6" x14ac:dyDescent="0.2">
      <c r="A556" s="46" t="s">
        <v>1397</v>
      </c>
    </row>
    <row r="557" spans="1:6" x14ac:dyDescent="0.2">
      <c r="A557" s="44" t="s">
        <v>1398</v>
      </c>
      <c r="D557" s="1" t="s">
        <v>1398</v>
      </c>
      <c r="E557" s="1" t="s">
        <v>1399</v>
      </c>
      <c r="F557" s="1" t="s">
        <v>1399</v>
      </c>
    </row>
    <row r="558" spans="1:6" x14ac:dyDescent="0.2">
      <c r="A558" s="46" t="s">
        <v>1399</v>
      </c>
    </row>
    <row r="559" spans="1:6" x14ac:dyDescent="0.2">
      <c r="A559" s="46" t="s">
        <v>1400</v>
      </c>
    </row>
    <row r="560" spans="1:6" x14ac:dyDescent="0.2">
      <c r="A560" s="44" t="s">
        <v>1401</v>
      </c>
      <c r="D560" s="1" t="s">
        <v>1401</v>
      </c>
      <c r="E560" s="1" t="s">
        <v>1150</v>
      </c>
      <c r="F560" s="1" t="s">
        <v>1150</v>
      </c>
    </row>
    <row r="561" spans="1:6" x14ac:dyDescent="0.2">
      <c r="A561" s="46" t="s">
        <v>1150</v>
      </c>
    </row>
    <row r="562" spans="1:6" x14ac:dyDescent="0.2">
      <c r="A562" s="46" t="s">
        <v>1402</v>
      </c>
    </row>
    <row r="563" spans="1:6" x14ac:dyDescent="0.2">
      <c r="A563" s="44" t="s">
        <v>1403</v>
      </c>
      <c r="D563" s="1" t="s">
        <v>1403</v>
      </c>
      <c r="E563" s="1" t="s">
        <v>1404</v>
      </c>
      <c r="F563" s="1" t="s">
        <v>1404</v>
      </c>
    </row>
    <row r="564" spans="1:6" x14ac:dyDescent="0.2">
      <c r="A564" s="46" t="s">
        <v>1404</v>
      </c>
    </row>
    <row r="565" spans="1:6" x14ac:dyDescent="0.2">
      <c r="A565" s="46" t="s">
        <v>1405</v>
      </c>
    </row>
    <row r="566" spans="1:6" x14ac:dyDescent="0.2">
      <c r="A566" s="44" t="s">
        <v>1406</v>
      </c>
      <c r="D566" s="1" t="s">
        <v>1406</v>
      </c>
      <c r="E566" s="1" t="s">
        <v>988</v>
      </c>
      <c r="F566" s="1" t="s">
        <v>988</v>
      </c>
    </row>
    <row r="567" spans="1:6" x14ac:dyDescent="0.2">
      <c r="A567" s="46" t="s">
        <v>988</v>
      </c>
    </row>
    <row r="568" spans="1:6" x14ac:dyDescent="0.2">
      <c r="A568" s="46" t="s">
        <v>989</v>
      </c>
    </row>
    <row r="569" spans="1:6" x14ac:dyDescent="0.2">
      <c r="A569" s="44" t="s">
        <v>1407</v>
      </c>
      <c r="D569" s="1" t="s">
        <v>1407</v>
      </c>
      <c r="E569" s="1" t="s">
        <v>1408</v>
      </c>
      <c r="F569" s="1" t="s">
        <v>1408</v>
      </c>
    </row>
    <row r="570" spans="1:6" x14ac:dyDescent="0.2">
      <c r="A570" s="46" t="s">
        <v>1408</v>
      </c>
    </row>
    <row r="571" spans="1:6" x14ac:dyDescent="0.2">
      <c r="A571" s="46" t="s">
        <v>1409</v>
      </c>
    </row>
    <row r="572" spans="1:6" x14ac:dyDescent="0.2">
      <c r="A572" s="44" t="s">
        <v>1410</v>
      </c>
      <c r="D572" s="1" t="s">
        <v>1410</v>
      </c>
      <c r="E572" s="1" t="s">
        <v>1399</v>
      </c>
      <c r="F572" s="1" t="s">
        <v>1399</v>
      </c>
    </row>
    <row r="573" spans="1:6" x14ac:dyDescent="0.2">
      <c r="A573" s="46" t="s">
        <v>1399</v>
      </c>
    </row>
    <row r="574" spans="1:6" x14ac:dyDescent="0.2">
      <c r="A574" s="46" t="s">
        <v>1400</v>
      </c>
    </row>
    <row r="575" spans="1:6" x14ac:dyDescent="0.2">
      <c r="A575" s="44" t="s">
        <v>1411</v>
      </c>
      <c r="D575" s="1" t="s">
        <v>1411</v>
      </c>
      <c r="E575" s="1" t="s">
        <v>927</v>
      </c>
      <c r="F575" s="1" t="s">
        <v>927</v>
      </c>
    </row>
    <row r="576" spans="1:6" x14ac:dyDescent="0.2">
      <c r="A576" s="46" t="s">
        <v>927</v>
      </c>
    </row>
    <row r="577" spans="1:6" x14ac:dyDescent="0.2">
      <c r="A577" s="46" t="s">
        <v>1412</v>
      </c>
    </row>
    <row r="578" spans="1:6" x14ac:dyDescent="0.2">
      <c r="A578" s="44" t="s">
        <v>1413</v>
      </c>
      <c r="D578" s="1" t="s">
        <v>1413</v>
      </c>
      <c r="E578" s="1" t="s">
        <v>983</v>
      </c>
      <c r="F578" s="1" t="s">
        <v>983</v>
      </c>
    </row>
    <row r="579" spans="1:6" x14ac:dyDescent="0.2">
      <c r="A579" s="46" t="s">
        <v>983</v>
      </c>
    </row>
    <row r="580" spans="1:6" x14ac:dyDescent="0.2">
      <c r="A580" s="46" t="s">
        <v>1414</v>
      </c>
    </row>
    <row r="581" spans="1:6" x14ac:dyDescent="0.2">
      <c r="A581" s="44" t="s">
        <v>1415</v>
      </c>
      <c r="D581" s="1" t="s">
        <v>1415</v>
      </c>
      <c r="E581" s="1" t="s">
        <v>970</v>
      </c>
      <c r="F581" s="1" t="s">
        <v>970</v>
      </c>
    </row>
    <row r="582" spans="1:6" x14ac:dyDescent="0.2">
      <c r="A582" s="46" t="s">
        <v>970</v>
      </c>
    </row>
    <row r="583" spans="1:6" x14ac:dyDescent="0.2">
      <c r="A583" s="46" t="s">
        <v>1416</v>
      </c>
    </row>
    <row r="584" spans="1:6" x14ac:dyDescent="0.2">
      <c r="A584" s="44" t="s">
        <v>1417</v>
      </c>
      <c r="D584" s="1" t="s">
        <v>1417</v>
      </c>
      <c r="E584" s="1" t="s">
        <v>1418</v>
      </c>
      <c r="F584" s="1" t="s">
        <v>1418</v>
      </c>
    </row>
    <row r="585" spans="1:6" x14ac:dyDescent="0.2">
      <c r="A585" s="46" t="s">
        <v>1418</v>
      </c>
    </row>
    <row r="586" spans="1:6" x14ac:dyDescent="0.2">
      <c r="A586" s="46" t="s">
        <v>1419</v>
      </c>
    </row>
    <row r="587" spans="1:6" x14ac:dyDescent="0.2">
      <c r="A587" s="44" t="s">
        <v>1420</v>
      </c>
      <c r="D587" s="1" t="s">
        <v>1420</v>
      </c>
      <c r="E587" s="1" t="s">
        <v>1233</v>
      </c>
      <c r="F587" s="1" t="s">
        <v>1233</v>
      </c>
    </row>
    <row r="588" spans="1:6" x14ac:dyDescent="0.2">
      <c r="A588" s="46" t="s">
        <v>1233</v>
      </c>
    </row>
    <row r="589" spans="1:6" x14ac:dyDescent="0.2">
      <c r="A589" s="46" t="s">
        <v>1421</v>
      </c>
    </row>
    <row r="590" spans="1:6" x14ac:dyDescent="0.2">
      <c r="A590" s="44" t="s">
        <v>1422</v>
      </c>
      <c r="D590" s="1" t="s">
        <v>1422</v>
      </c>
      <c r="E590" s="1" t="s">
        <v>1260</v>
      </c>
      <c r="F590" s="1" t="s">
        <v>1260</v>
      </c>
    </row>
    <row r="591" spans="1:6" x14ac:dyDescent="0.2">
      <c r="A591" s="46" t="s">
        <v>1260</v>
      </c>
    </row>
    <row r="592" spans="1:6" x14ac:dyDescent="0.2">
      <c r="A592" s="46" t="s">
        <v>1423</v>
      </c>
    </row>
    <row r="593" spans="1:6" x14ac:dyDescent="0.2">
      <c r="A593" s="44" t="s">
        <v>1424</v>
      </c>
      <c r="D593" s="1" t="s">
        <v>1424</v>
      </c>
      <c r="E593" s="1" t="s">
        <v>1425</v>
      </c>
      <c r="F593" s="1" t="s">
        <v>1425</v>
      </c>
    </row>
    <row r="594" spans="1:6" x14ac:dyDescent="0.2">
      <c r="A594" s="46" t="s">
        <v>1425</v>
      </c>
    </row>
    <row r="595" spans="1:6" x14ac:dyDescent="0.2">
      <c r="A595" s="46" t="s">
        <v>1426</v>
      </c>
    </row>
    <row r="596" spans="1:6" x14ac:dyDescent="0.2">
      <c r="A596" s="44" t="s">
        <v>1427</v>
      </c>
      <c r="D596" s="1" t="s">
        <v>1427</v>
      </c>
      <c r="E596" s="1" t="s">
        <v>927</v>
      </c>
      <c r="F596" s="1" t="s">
        <v>927</v>
      </c>
    </row>
    <row r="597" spans="1:6" x14ac:dyDescent="0.2">
      <c r="A597" s="46" t="s">
        <v>927</v>
      </c>
    </row>
    <row r="598" spans="1:6" x14ac:dyDescent="0.2">
      <c r="A598" s="46" t="s">
        <v>1428</v>
      </c>
    </row>
    <row r="599" spans="1:6" x14ac:dyDescent="0.2">
      <c r="A599" s="44" t="s">
        <v>1429</v>
      </c>
      <c r="D599" s="1" t="s">
        <v>1429</v>
      </c>
      <c r="E599" s="1" t="s">
        <v>927</v>
      </c>
      <c r="F599" s="1" t="s">
        <v>927</v>
      </c>
    </row>
    <row r="600" spans="1:6" x14ac:dyDescent="0.2">
      <c r="A600" s="46" t="s">
        <v>927</v>
      </c>
    </row>
    <row r="601" spans="1:6" x14ac:dyDescent="0.2">
      <c r="A601" s="46" t="s">
        <v>1430</v>
      </c>
    </row>
    <row r="602" spans="1:6" x14ac:dyDescent="0.2">
      <c r="A602" s="44" t="s">
        <v>1431</v>
      </c>
      <c r="D602" s="1" t="s">
        <v>1431</v>
      </c>
      <c r="E602" s="1" t="s">
        <v>1432</v>
      </c>
      <c r="F602" s="1" t="s">
        <v>1432</v>
      </c>
    </row>
    <row r="603" spans="1:6" x14ac:dyDescent="0.2">
      <c r="A603" s="46" t="s">
        <v>1432</v>
      </c>
    </row>
    <row r="604" spans="1:6" x14ac:dyDescent="0.2">
      <c r="A604" s="46" t="s">
        <v>1433</v>
      </c>
    </row>
    <row r="605" spans="1:6" x14ac:dyDescent="0.2">
      <c r="A605" s="44" t="s">
        <v>1434</v>
      </c>
      <c r="D605" s="1" t="s">
        <v>1434</v>
      </c>
      <c r="E605" s="1" t="s">
        <v>927</v>
      </c>
      <c r="F605" s="1" t="s">
        <v>927</v>
      </c>
    </row>
    <row r="606" spans="1:6" x14ac:dyDescent="0.2">
      <c r="A606" s="46" t="s">
        <v>927</v>
      </c>
    </row>
    <row r="607" spans="1:6" x14ac:dyDescent="0.2">
      <c r="A607" s="46" t="s">
        <v>1435</v>
      </c>
    </row>
    <row r="608" spans="1:6" x14ac:dyDescent="0.2">
      <c r="A608" s="44" t="s">
        <v>1436</v>
      </c>
      <c r="D608" s="1" t="s">
        <v>1436</v>
      </c>
      <c r="E608" s="1" t="s">
        <v>1437</v>
      </c>
      <c r="F608" s="1" t="s">
        <v>1437</v>
      </c>
    </row>
    <row r="609" spans="1:6" x14ac:dyDescent="0.2">
      <c r="A609" s="46" t="s">
        <v>1437</v>
      </c>
    </row>
    <row r="610" spans="1:6" x14ac:dyDescent="0.2">
      <c r="A610" s="46" t="s">
        <v>1438</v>
      </c>
    </row>
    <row r="611" spans="1:6" x14ac:dyDescent="0.2">
      <c r="A611" s="44" t="s">
        <v>1439</v>
      </c>
      <c r="D611" s="1" t="s">
        <v>1439</v>
      </c>
      <c r="E611" s="1" t="s">
        <v>1440</v>
      </c>
      <c r="F611" s="1" t="s">
        <v>1440</v>
      </c>
    </row>
    <row r="612" spans="1:6" x14ac:dyDescent="0.2">
      <c r="A612" s="46" t="s">
        <v>1440</v>
      </c>
    </row>
    <row r="613" spans="1:6" x14ac:dyDescent="0.2">
      <c r="A613" s="46" t="s">
        <v>1441</v>
      </c>
    </row>
    <row r="614" spans="1:6" x14ac:dyDescent="0.2">
      <c r="A614" s="44" t="s">
        <v>1442</v>
      </c>
      <c r="D614" s="1" t="s">
        <v>1442</v>
      </c>
      <c r="E614" s="1" t="s">
        <v>988</v>
      </c>
      <c r="F614" s="1" t="s">
        <v>988</v>
      </c>
    </row>
    <row r="615" spans="1:6" x14ac:dyDescent="0.2">
      <c r="A615" s="46" t="s">
        <v>988</v>
      </c>
    </row>
    <row r="616" spans="1:6" x14ac:dyDescent="0.2">
      <c r="A616" s="46" t="s">
        <v>989</v>
      </c>
    </row>
    <row r="617" spans="1:6" x14ac:dyDescent="0.2">
      <c r="A617" s="44" t="s">
        <v>1443</v>
      </c>
      <c r="D617" s="1" t="s">
        <v>1443</v>
      </c>
      <c r="E617" s="1" t="s">
        <v>991</v>
      </c>
      <c r="F617" s="1" t="s">
        <v>991</v>
      </c>
    </row>
    <row r="618" spans="1:6" x14ac:dyDescent="0.2">
      <c r="A618" s="46" t="s">
        <v>991</v>
      </c>
    </row>
    <row r="619" spans="1:6" x14ac:dyDescent="0.2">
      <c r="A619" s="46" t="s">
        <v>992</v>
      </c>
    </row>
    <row r="620" spans="1:6" x14ac:dyDescent="0.2">
      <c r="A620" s="44" t="s">
        <v>1444</v>
      </c>
      <c r="D620" s="1" t="s">
        <v>1444</v>
      </c>
      <c r="E620" s="1" t="s">
        <v>994</v>
      </c>
      <c r="F620" s="1" t="s">
        <v>994</v>
      </c>
    </row>
    <row r="621" spans="1:6" x14ac:dyDescent="0.2">
      <c r="A621" s="46" t="s">
        <v>994</v>
      </c>
    </row>
    <row r="622" spans="1:6" x14ac:dyDescent="0.2">
      <c r="A622" s="46" t="s">
        <v>995</v>
      </c>
    </row>
    <row r="623" spans="1:6" x14ac:dyDescent="0.2">
      <c r="A623" s="44" t="s">
        <v>1445</v>
      </c>
      <c r="D623" s="1" t="s">
        <v>1445</v>
      </c>
      <c r="E623" s="1" t="s">
        <v>970</v>
      </c>
      <c r="F623" s="1" t="s">
        <v>970</v>
      </c>
    </row>
    <row r="624" spans="1:6" x14ac:dyDescent="0.2">
      <c r="A624" s="46" t="s">
        <v>970</v>
      </c>
    </row>
    <row r="625" spans="1:6" x14ac:dyDescent="0.2">
      <c r="A625" s="46" t="s">
        <v>971</v>
      </c>
    </row>
    <row r="626" spans="1:6" x14ac:dyDescent="0.2">
      <c r="A626" s="44" t="s">
        <v>1446</v>
      </c>
      <c r="D626" s="1" t="s">
        <v>1446</v>
      </c>
      <c r="E626" s="1" t="s">
        <v>998</v>
      </c>
      <c r="F626" s="1" t="s">
        <v>998</v>
      </c>
    </row>
    <row r="627" spans="1:6" x14ac:dyDescent="0.2">
      <c r="A627" s="46" t="s">
        <v>998</v>
      </c>
    </row>
    <row r="628" spans="1:6" x14ac:dyDescent="0.2">
      <c r="A628" s="46" t="s">
        <v>999</v>
      </c>
    </row>
    <row r="629" spans="1:6" x14ac:dyDescent="0.2">
      <c r="A629" s="44" t="s">
        <v>1447</v>
      </c>
      <c r="D629" s="1" t="s">
        <v>1447</v>
      </c>
      <c r="E629" s="1" t="s">
        <v>927</v>
      </c>
      <c r="F629" s="1" t="s">
        <v>927</v>
      </c>
    </row>
    <row r="630" spans="1:6" x14ac:dyDescent="0.2">
      <c r="A630" s="46" t="s">
        <v>927</v>
      </c>
    </row>
    <row r="631" spans="1:6" x14ac:dyDescent="0.2">
      <c r="A631" s="46" t="s">
        <v>1001</v>
      </c>
    </row>
    <row r="632" spans="1:6" x14ac:dyDescent="0.2">
      <c r="A632" s="44" t="s">
        <v>1448</v>
      </c>
      <c r="D632" s="1" t="s">
        <v>1448</v>
      </c>
      <c r="E632" s="1" t="s">
        <v>965</v>
      </c>
      <c r="F632" s="1" t="s">
        <v>965</v>
      </c>
    </row>
    <row r="633" spans="1:6" x14ac:dyDescent="0.2">
      <c r="A633" s="46" t="s">
        <v>965</v>
      </c>
    </row>
    <row r="634" spans="1:6" x14ac:dyDescent="0.2">
      <c r="A634" s="46" t="s">
        <v>966</v>
      </c>
    </row>
    <row r="635" spans="1:6" x14ac:dyDescent="0.2">
      <c r="A635" s="44" t="s">
        <v>1449</v>
      </c>
      <c r="D635" s="1" t="s">
        <v>1449</v>
      </c>
      <c r="E635" s="1" t="s">
        <v>956</v>
      </c>
      <c r="F635" s="1" t="s">
        <v>956</v>
      </c>
    </row>
    <row r="636" spans="1:6" x14ac:dyDescent="0.2">
      <c r="A636" s="46" t="s">
        <v>956</v>
      </c>
    </row>
    <row r="637" spans="1:6" x14ac:dyDescent="0.2">
      <c r="A637" s="46" t="s">
        <v>968</v>
      </c>
    </row>
    <row r="638" spans="1:6" x14ac:dyDescent="0.2">
      <c r="A638" s="44" t="s">
        <v>1450</v>
      </c>
      <c r="D638" s="1" t="s">
        <v>1450</v>
      </c>
      <c r="E638" s="1" t="s">
        <v>973</v>
      </c>
      <c r="F638" s="1" t="s">
        <v>973</v>
      </c>
    </row>
    <row r="639" spans="1:6" x14ac:dyDescent="0.2">
      <c r="A639" s="46" t="s">
        <v>973</v>
      </c>
    </row>
    <row r="640" spans="1:6" x14ac:dyDescent="0.2">
      <c r="A640" s="46" t="s">
        <v>974</v>
      </c>
    </row>
    <row r="641" spans="1:6" x14ac:dyDescent="0.2">
      <c r="A641" s="44" t="s">
        <v>1451</v>
      </c>
      <c r="D641" s="1" t="s">
        <v>1451</v>
      </c>
      <c r="E641" s="1" t="s">
        <v>927</v>
      </c>
      <c r="F641" s="1" t="s">
        <v>927</v>
      </c>
    </row>
    <row r="642" spans="1:6" x14ac:dyDescent="0.2">
      <c r="A642" s="46" t="s">
        <v>927</v>
      </c>
    </row>
    <row r="643" spans="1:6" x14ac:dyDescent="0.2">
      <c r="A643" s="46" t="s">
        <v>976</v>
      </c>
    </row>
    <row r="644" spans="1:6" x14ac:dyDescent="0.2">
      <c r="A644" s="44" t="s">
        <v>1452</v>
      </c>
      <c r="D644" s="1" t="s">
        <v>1452</v>
      </c>
      <c r="E644" s="1" t="s">
        <v>956</v>
      </c>
      <c r="F644" s="1" t="s">
        <v>956</v>
      </c>
    </row>
    <row r="645" spans="1:6" x14ac:dyDescent="0.2">
      <c r="A645" s="46" t="s">
        <v>956</v>
      </c>
    </row>
    <row r="646" spans="1:6" x14ac:dyDescent="0.2">
      <c r="A646" s="46" t="s">
        <v>978</v>
      </c>
    </row>
    <row r="647" spans="1:6" x14ac:dyDescent="0.2">
      <c r="A647" s="44" t="s">
        <v>1453</v>
      </c>
      <c r="D647" s="1" t="s">
        <v>1453</v>
      </c>
      <c r="E647" s="1" t="s">
        <v>980</v>
      </c>
      <c r="F647" s="1" t="s">
        <v>980</v>
      </c>
    </row>
    <row r="648" spans="1:6" x14ac:dyDescent="0.2">
      <c r="A648" s="46" t="s">
        <v>980</v>
      </c>
    </row>
    <row r="649" spans="1:6" x14ac:dyDescent="0.2">
      <c r="A649" s="46" t="s">
        <v>981</v>
      </c>
    </row>
    <row r="650" spans="1:6" x14ac:dyDescent="0.2">
      <c r="A650" s="44" t="s">
        <v>1454</v>
      </c>
      <c r="D650" s="1" t="s">
        <v>1454</v>
      </c>
      <c r="E650" s="1" t="s">
        <v>983</v>
      </c>
      <c r="F650" s="1" t="s">
        <v>983</v>
      </c>
    </row>
    <row r="651" spans="1:6" x14ac:dyDescent="0.2">
      <c r="A651" s="46" t="s">
        <v>983</v>
      </c>
    </row>
    <row r="652" spans="1:6" x14ac:dyDescent="0.2">
      <c r="A652" s="46" t="s">
        <v>984</v>
      </c>
    </row>
    <row r="653" spans="1:6" x14ac:dyDescent="0.2">
      <c r="A653" s="44" t="s">
        <v>1455</v>
      </c>
      <c r="D653" s="1" t="s">
        <v>1455</v>
      </c>
      <c r="E653" s="1" t="s">
        <v>956</v>
      </c>
      <c r="F653" s="1" t="s">
        <v>956</v>
      </c>
    </row>
    <row r="654" spans="1:6" x14ac:dyDescent="0.2">
      <c r="A654" s="46" t="s">
        <v>956</v>
      </c>
    </row>
    <row r="655" spans="1:6" x14ac:dyDescent="0.2">
      <c r="A655" s="46" t="s">
        <v>986</v>
      </c>
    </row>
    <row r="656" spans="1:6" x14ac:dyDescent="0.2">
      <c r="A656" s="44" t="s">
        <v>1456</v>
      </c>
      <c r="D656" s="1" t="s">
        <v>1456</v>
      </c>
      <c r="E656" s="1" t="s">
        <v>1003</v>
      </c>
      <c r="F656" s="1" t="s">
        <v>1003</v>
      </c>
    </row>
    <row r="657" spans="1:6" x14ac:dyDescent="0.2">
      <c r="A657" s="46" t="s">
        <v>1003</v>
      </c>
    </row>
    <row r="658" spans="1:6" x14ac:dyDescent="0.2">
      <c r="A658" s="46" t="s">
        <v>1004</v>
      </c>
    </row>
    <row r="659" spans="1:6" x14ac:dyDescent="0.2">
      <c r="A659" s="44" t="s">
        <v>1457</v>
      </c>
      <c r="D659" s="1" t="s">
        <v>1457</v>
      </c>
      <c r="E659" s="1" t="s">
        <v>1006</v>
      </c>
      <c r="F659" s="1" t="s">
        <v>1006</v>
      </c>
    </row>
    <row r="660" spans="1:6" x14ac:dyDescent="0.2">
      <c r="A660" s="46" t="s">
        <v>1006</v>
      </c>
    </row>
    <row r="661" spans="1:6" x14ac:dyDescent="0.2">
      <c r="A661" s="46" t="s">
        <v>1007</v>
      </c>
    </row>
    <row r="662" spans="1:6" x14ac:dyDescent="0.2">
      <c r="A662" s="44" t="s">
        <v>1458</v>
      </c>
      <c r="D662" s="1" t="s">
        <v>1458</v>
      </c>
      <c r="E662" s="1" t="s">
        <v>956</v>
      </c>
      <c r="F662" s="1" t="s">
        <v>956</v>
      </c>
    </row>
    <row r="663" spans="1:6" x14ac:dyDescent="0.2">
      <c r="A663" s="46" t="s">
        <v>956</v>
      </c>
    </row>
    <row r="664" spans="1:6" x14ac:dyDescent="0.2">
      <c r="A664" s="46" t="s">
        <v>1009</v>
      </c>
    </row>
    <row r="665" spans="1:6" x14ac:dyDescent="0.2">
      <c r="A665" s="44" t="s">
        <v>1459</v>
      </c>
      <c r="D665" s="1" t="s">
        <v>1459</v>
      </c>
      <c r="E665" s="1" t="s">
        <v>1011</v>
      </c>
      <c r="F665" s="1" t="s">
        <v>1011</v>
      </c>
    </row>
    <row r="666" spans="1:6" x14ac:dyDescent="0.2">
      <c r="A666" s="46" t="s">
        <v>1011</v>
      </c>
    </row>
    <row r="667" spans="1:6" x14ac:dyDescent="0.2">
      <c r="A667" s="46" t="s">
        <v>1012</v>
      </c>
    </row>
    <row r="668" spans="1:6" x14ac:dyDescent="0.2">
      <c r="A668" s="44" t="s">
        <v>1460</v>
      </c>
      <c r="D668" s="1" t="s">
        <v>1460</v>
      </c>
      <c r="E668" s="1" t="s">
        <v>1014</v>
      </c>
      <c r="F668" s="1" t="s">
        <v>1014</v>
      </c>
    </row>
    <row r="669" spans="1:6" x14ac:dyDescent="0.2">
      <c r="A669" s="46" t="s">
        <v>1014</v>
      </c>
    </row>
    <row r="670" spans="1:6" x14ac:dyDescent="0.2">
      <c r="A670" s="46" t="s">
        <v>1015</v>
      </c>
    </row>
    <row r="671" spans="1:6" x14ac:dyDescent="0.2">
      <c r="A671" s="44" t="s">
        <v>1461</v>
      </c>
      <c r="D671" s="1" t="s">
        <v>1461</v>
      </c>
      <c r="E671" s="1" t="s">
        <v>1017</v>
      </c>
      <c r="F671" s="1" t="s">
        <v>1017</v>
      </c>
    </row>
    <row r="672" spans="1:6" x14ac:dyDescent="0.2">
      <c r="A672" s="46" t="s">
        <v>1017</v>
      </c>
    </row>
    <row r="673" spans="1:6" x14ac:dyDescent="0.2">
      <c r="A673" s="46" t="s">
        <v>1018</v>
      </c>
    </row>
    <row r="674" spans="1:6" x14ac:dyDescent="0.2">
      <c r="A674" s="44" t="s">
        <v>1462</v>
      </c>
      <c r="D674" s="1" t="s">
        <v>1462</v>
      </c>
      <c r="E674" s="1" t="s">
        <v>994</v>
      </c>
      <c r="F674" s="1" t="s">
        <v>994</v>
      </c>
    </row>
    <row r="675" spans="1:6" x14ac:dyDescent="0.2">
      <c r="A675" s="46" t="s">
        <v>994</v>
      </c>
    </row>
    <row r="676" spans="1:6" x14ac:dyDescent="0.2">
      <c r="A676" s="46" t="s">
        <v>1020</v>
      </c>
    </row>
    <row r="677" spans="1:6" x14ac:dyDescent="0.2">
      <c r="A677" s="44" t="s">
        <v>1463</v>
      </c>
      <c r="D677" s="1" t="s">
        <v>1463</v>
      </c>
      <c r="E677" s="1" t="s">
        <v>1017</v>
      </c>
      <c r="F677" s="1" t="s">
        <v>1017</v>
      </c>
    </row>
    <row r="678" spans="1:6" x14ac:dyDescent="0.2">
      <c r="A678" s="46" t="s">
        <v>1017</v>
      </c>
    </row>
    <row r="679" spans="1:6" x14ac:dyDescent="0.2">
      <c r="A679" s="46" t="s">
        <v>1022</v>
      </c>
    </row>
    <row r="680" spans="1:6" x14ac:dyDescent="0.2">
      <c r="A680" s="44" t="s">
        <v>1464</v>
      </c>
      <c r="D680" s="1" t="s">
        <v>1464</v>
      </c>
      <c r="E680" s="1" t="s">
        <v>962</v>
      </c>
      <c r="F680" s="1" t="s">
        <v>962</v>
      </c>
    </row>
    <row r="681" spans="1:6" x14ac:dyDescent="0.2">
      <c r="A681" s="46" t="s">
        <v>962</v>
      </c>
    </row>
    <row r="682" spans="1:6" x14ac:dyDescent="0.2">
      <c r="A682" s="46" t="s">
        <v>1024</v>
      </c>
    </row>
    <row r="683" spans="1:6" x14ac:dyDescent="0.2">
      <c r="A683" s="44" t="s">
        <v>1465</v>
      </c>
      <c r="D683" s="1" t="s">
        <v>1465</v>
      </c>
      <c r="E683" s="1" t="s">
        <v>1026</v>
      </c>
      <c r="F683" s="1" t="s">
        <v>1026</v>
      </c>
    </row>
    <row r="684" spans="1:6" x14ac:dyDescent="0.2">
      <c r="A684" s="46" t="s">
        <v>1026</v>
      </c>
    </row>
    <row r="685" spans="1:6" x14ac:dyDescent="0.2">
      <c r="A685" s="46" t="s">
        <v>1027</v>
      </c>
    </row>
    <row r="686" spans="1:6" x14ac:dyDescent="0.2">
      <c r="A686" s="44" t="s">
        <v>1466</v>
      </c>
      <c r="D686" s="1" t="s">
        <v>1466</v>
      </c>
      <c r="E686" s="1" t="s">
        <v>1029</v>
      </c>
      <c r="F686" s="1" t="s">
        <v>1029</v>
      </c>
    </row>
    <row r="687" spans="1:6" x14ac:dyDescent="0.2">
      <c r="A687" s="46" t="s">
        <v>1029</v>
      </c>
    </row>
    <row r="688" spans="1:6" x14ac:dyDescent="0.2">
      <c r="A688" s="46" t="s">
        <v>1030</v>
      </c>
    </row>
    <row r="689" spans="1:6" x14ac:dyDescent="0.2">
      <c r="A689" s="44" t="s">
        <v>1467</v>
      </c>
      <c r="D689" s="1" t="s">
        <v>1467</v>
      </c>
      <c r="E689" s="1" t="s">
        <v>956</v>
      </c>
      <c r="F689" s="1" t="s">
        <v>956</v>
      </c>
    </row>
    <row r="690" spans="1:6" x14ac:dyDescent="0.2">
      <c r="A690" s="46" t="s">
        <v>956</v>
      </c>
    </row>
    <row r="691" spans="1:6" x14ac:dyDescent="0.2">
      <c r="A691" s="46" t="s">
        <v>1032</v>
      </c>
    </row>
    <row r="692" spans="1:6" x14ac:dyDescent="0.2">
      <c r="A692" s="44" t="s">
        <v>1468</v>
      </c>
      <c r="D692" s="1" t="s">
        <v>1468</v>
      </c>
      <c r="E692" s="1" t="s">
        <v>970</v>
      </c>
      <c r="F692" s="1" t="s">
        <v>970</v>
      </c>
    </row>
    <row r="693" spans="1:6" x14ac:dyDescent="0.2">
      <c r="A693" s="46" t="s">
        <v>970</v>
      </c>
    </row>
    <row r="694" spans="1:6" x14ac:dyDescent="0.2">
      <c r="A694" s="46" t="s">
        <v>1034</v>
      </c>
    </row>
    <row r="695" spans="1:6" x14ac:dyDescent="0.2">
      <c r="A695" s="44" t="s">
        <v>1469</v>
      </c>
      <c r="D695" s="1" t="s">
        <v>1469</v>
      </c>
      <c r="E695" s="1" t="s">
        <v>1036</v>
      </c>
      <c r="F695" s="1" t="s">
        <v>1036</v>
      </c>
    </row>
    <row r="696" spans="1:6" x14ac:dyDescent="0.2">
      <c r="A696" s="46" t="s">
        <v>1036</v>
      </c>
    </row>
    <row r="697" spans="1:6" x14ac:dyDescent="0.2">
      <c r="A697" s="46" t="s">
        <v>1037</v>
      </c>
    </row>
    <row r="698" spans="1:6" x14ac:dyDescent="0.2">
      <c r="A698" s="44" t="s">
        <v>1470</v>
      </c>
      <c r="D698" s="1" t="s">
        <v>1470</v>
      </c>
      <c r="E698" s="1" t="s">
        <v>1039</v>
      </c>
      <c r="F698" s="1" t="s">
        <v>1039</v>
      </c>
    </row>
    <row r="699" spans="1:6" x14ac:dyDescent="0.2">
      <c r="A699" s="46" t="s">
        <v>1039</v>
      </c>
    </row>
    <row r="700" spans="1:6" x14ac:dyDescent="0.2">
      <c r="A700" s="46" t="s">
        <v>1040</v>
      </c>
    </row>
    <row r="701" spans="1:6" x14ac:dyDescent="0.2">
      <c r="A701" s="44" t="s">
        <v>1471</v>
      </c>
      <c r="D701" s="1" t="s">
        <v>1471</v>
      </c>
      <c r="E701" s="1" t="s">
        <v>1042</v>
      </c>
      <c r="F701" s="1" t="s">
        <v>1042</v>
      </c>
    </row>
    <row r="702" spans="1:6" x14ac:dyDescent="0.2">
      <c r="A702" s="46" t="s">
        <v>1042</v>
      </c>
    </row>
    <row r="703" spans="1:6" x14ac:dyDescent="0.2">
      <c r="A703" s="46" t="s">
        <v>1043</v>
      </c>
    </row>
    <row r="704" spans="1:6" x14ac:dyDescent="0.2">
      <c r="A704" s="44" t="s">
        <v>1472</v>
      </c>
      <c r="D704" s="1" t="s">
        <v>1472</v>
      </c>
      <c r="E704" s="1" t="s">
        <v>1045</v>
      </c>
      <c r="F704" s="1" t="s">
        <v>1045</v>
      </c>
    </row>
    <row r="705" spans="1:6" x14ac:dyDescent="0.2">
      <c r="A705" s="46" t="s">
        <v>1045</v>
      </c>
    </row>
    <row r="706" spans="1:6" x14ac:dyDescent="0.2">
      <c r="A706" s="46" t="s">
        <v>1046</v>
      </c>
    </row>
    <row r="707" spans="1:6" x14ac:dyDescent="0.2">
      <c r="A707" s="44" t="s">
        <v>1473</v>
      </c>
      <c r="D707" s="1" t="s">
        <v>1473</v>
      </c>
      <c r="E707" s="1" t="s">
        <v>1048</v>
      </c>
      <c r="F707" s="1" t="s">
        <v>1048</v>
      </c>
    </row>
    <row r="708" spans="1:6" x14ac:dyDescent="0.2">
      <c r="A708" s="46" t="s">
        <v>1048</v>
      </c>
    </row>
    <row r="709" spans="1:6" x14ac:dyDescent="0.2">
      <c r="A709" s="46" t="s">
        <v>1049</v>
      </c>
    </row>
    <row r="710" spans="1:6" x14ac:dyDescent="0.2">
      <c r="A710" s="44" t="s">
        <v>1474</v>
      </c>
      <c r="D710" s="1" t="s">
        <v>1474</v>
      </c>
      <c r="E710" s="1" t="s">
        <v>1051</v>
      </c>
      <c r="F710" s="1" t="s">
        <v>1051</v>
      </c>
    </row>
    <row r="711" spans="1:6" x14ac:dyDescent="0.2">
      <c r="A711" s="46" t="s">
        <v>1051</v>
      </c>
    </row>
    <row r="712" spans="1:6" x14ac:dyDescent="0.2">
      <c r="A712" s="46" t="s">
        <v>1052</v>
      </c>
    </row>
    <row r="713" spans="1:6" x14ac:dyDescent="0.2">
      <c r="A713" s="44" t="s">
        <v>1475</v>
      </c>
      <c r="D713" s="1" t="s">
        <v>1475</v>
      </c>
      <c r="E713" s="1" t="s">
        <v>1054</v>
      </c>
      <c r="F713" s="1" t="s">
        <v>1054</v>
      </c>
    </row>
    <row r="714" spans="1:6" x14ac:dyDescent="0.2">
      <c r="A714" s="46" t="s">
        <v>1054</v>
      </c>
    </row>
    <row r="715" spans="1:6" x14ac:dyDescent="0.2">
      <c r="A715" s="46" t="s">
        <v>1055</v>
      </c>
    </row>
    <row r="716" spans="1:6" x14ac:dyDescent="0.2">
      <c r="A716" s="44" t="s">
        <v>1476</v>
      </c>
      <c r="D716" s="1" t="s">
        <v>1476</v>
      </c>
      <c r="E716" s="1" t="s">
        <v>1057</v>
      </c>
      <c r="F716" s="1" t="s">
        <v>1057</v>
      </c>
    </row>
    <row r="717" spans="1:6" x14ac:dyDescent="0.2">
      <c r="A717" s="46" t="s">
        <v>1057</v>
      </c>
    </row>
    <row r="718" spans="1:6" x14ac:dyDescent="0.2">
      <c r="A718" s="46" t="s">
        <v>1058</v>
      </c>
    </row>
    <row r="719" spans="1:6" x14ac:dyDescent="0.2">
      <c r="A719" s="44" t="s">
        <v>1477</v>
      </c>
      <c r="D719" s="1" t="s">
        <v>1477</v>
      </c>
      <c r="E719" s="1" t="s">
        <v>1017</v>
      </c>
      <c r="F719" s="1" t="s">
        <v>1017</v>
      </c>
    </row>
    <row r="720" spans="1:6" x14ac:dyDescent="0.2">
      <c r="A720" s="46" t="s">
        <v>1017</v>
      </c>
    </row>
    <row r="721" spans="1:6" x14ac:dyDescent="0.2">
      <c r="A721" s="46" t="s">
        <v>1060</v>
      </c>
    </row>
    <row r="722" spans="1:6" x14ac:dyDescent="0.2">
      <c r="A722" s="44" t="s">
        <v>1478</v>
      </c>
      <c r="D722" s="1" t="s">
        <v>1478</v>
      </c>
      <c r="E722" s="1" t="s">
        <v>1062</v>
      </c>
      <c r="F722" s="1" t="s">
        <v>1062</v>
      </c>
    </row>
    <row r="723" spans="1:6" x14ac:dyDescent="0.2">
      <c r="A723" s="46" t="s">
        <v>1062</v>
      </c>
    </row>
    <row r="724" spans="1:6" x14ac:dyDescent="0.2">
      <c r="A724" s="46" t="s">
        <v>1063</v>
      </c>
    </row>
    <row r="725" spans="1:6" x14ac:dyDescent="0.2">
      <c r="A725" s="44" t="s">
        <v>1479</v>
      </c>
      <c r="D725" s="1" t="s">
        <v>1479</v>
      </c>
      <c r="E725" s="1" t="s">
        <v>956</v>
      </c>
      <c r="F725" s="1" t="s">
        <v>956</v>
      </c>
    </row>
    <row r="726" spans="1:6" x14ac:dyDescent="0.2">
      <c r="A726" s="46" t="s">
        <v>956</v>
      </c>
    </row>
    <row r="727" spans="1:6" x14ac:dyDescent="0.2">
      <c r="A727" s="46" t="s">
        <v>1065</v>
      </c>
    </row>
    <row r="728" spans="1:6" x14ac:dyDescent="0.2">
      <c r="A728" s="44" t="s">
        <v>1480</v>
      </c>
      <c r="D728" s="1" t="s">
        <v>1480</v>
      </c>
      <c r="E728" s="1" t="s">
        <v>1067</v>
      </c>
      <c r="F728" s="1" t="s">
        <v>1067</v>
      </c>
    </row>
    <row r="729" spans="1:6" x14ac:dyDescent="0.2">
      <c r="A729" s="46" t="s">
        <v>1067</v>
      </c>
    </row>
    <row r="730" spans="1:6" x14ac:dyDescent="0.2">
      <c r="A730" s="46" t="s">
        <v>1068</v>
      </c>
    </row>
    <row r="731" spans="1:6" x14ac:dyDescent="0.2">
      <c r="A731" s="44" t="s">
        <v>1481</v>
      </c>
      <c r="D731" s="1" t="s">
        <v>1481</v>
      </c>
      <c r="E731" s="1" t="s">
        <v>956</v>
      </c>
      <c r="F731" s="1" t="s">
        <v>956</v>
      </c>
    </row>
    <row r="732" spans="1:6" x14ac:dyDescent="0.2">
      <c r="A732" s="46" t="s">
        <v>956</v>
      </c>
    </row>
    <row r="733" spans="1:6" x14ac:dyDescent="0.2">
      <c r="A733" s="46" t="s">
        <v>1070</v>
      </c>
    </row>
    <row r="734" spans="1:6" x14ac:dyDescent="0.2">
      <c r="A734" s="44" t="s">
        <v>1482</v>
      </c>
      <c r="D734" s="1" t="s">
        <v>1482</v>
      </c>
      <c r="E734" s="1" t="s">
        <v>1072</v>
      </c>
      <c r="F734" s="1" t="s">
        <v>1072</v>
      </c>
    </row>
    <row r="735" spans="1:6" x14ac:dyDescent="0.2">
      <c r="A735" s="46" t="s">
        <v>1072</v>
      </c>
    </row>
    <row r="736" spans="1:6" x14ac:dyDescent="0.2">
      <c r="A736" s="46" t="s">
        <v>1073</v>
      </c>
    </row>
    <row r="737" spans="1:6" x14ac:dyDescent="0.2">
      <c r="A737" s="44" t="s">
        <v>1483</v>
      </c>
      <c r="D737" s="1" t="s">
        <v>1483</v>
      </c>
      <c r="E737" s="1" t="s">
        <v>1075</v>
      </c>
      <c r="F737" s="1" t="s">
        <v>1075</v>
      </c>
    </row>
    <row r="738" spans="1:6" x14ac:dyDescent="0.2">
      <c r="A738" s="46" t="s">
        <v>1075</v>
      </c>
    </row>
    <row r="739" spans="1:6" x14ac:dyDescent="0.2">
      <c r="A739" s="46" t="s">
        <v>1076</v>
      </c>
    </row>
    <row r="740" spans="1:6" x14ac:dyDescent="0.2">
      <c r="A740" s="44" t="s">
        <v>1484</v>
      </c>
      <c r="D740" s="1" t="s">
        <v>1484</v>
      </c>
      <c r="E740" s="1" t="s">
        <v>1078</v>
      </c>
      <c r="F740" s="1" t="s">
        <v>1078</v>
      </c>
    </row>
    <row r="741" spans="1:6" x14ac:dyDescent="0.2">
      <c r="A741" s="46" t="s">
        <v>1078</v>
      </c>
    </row>
    <row r="742" spans="1:6" x14ac:dyDescent="0.2">
      <c r="A742" s="46" t="s">
        <v>1079</v>
      </c>
    </row>
    <row r="743" spans="1:6" x14ac:dyDescent="0.2">
      <c r="A743" s="44" t="s">
        <v>1485</v>
      </c>
      <c r="D743" s="1" t="s">
        <v>1485</v>
      </c>
      <c r="E743" s="1" t="s">
        <v>1081</v>
      </c>
      <c r="F743" s="1" t="s">
        <v>1081</v>
      </c>
    </row>
    <row r="744" spans="1:6" x14ac:dyDescent="0.2">
      <c r="A744" s="46" t="s">
        <v>1081</v>
      </c>
    </row>
    <row r="745" spans="1:6" x14ac:dyDescent="0.2">
      <c r="A745" s="46" t="s">
        <v>1082</v>
      </c>
    </row>
    <row r="746" spans="1:6" x14ac:dyDescent="0.2">
      <c r="A746" s="44" t="s">
        <v>1486</v>
      </c>
      <c r="D746" s="1" t="s">
        <v>1486</v>
      </c>
      <c r="E746" s="1" t="s">
        <v>1084</v>
      </c>
      <c r="F746" s="1" t="s">
        <v>1084</v>
      </c>
    </row>
    <row r="747" spans="1:6" x14ac:dyDescent="0.2">
      <c r="A747" s="46" t="s">
        <v>1084</v>
      </c>
    </row>
    <row r="748" spans="1:6" x14ac:dyDescent="0.2">
      <c r="A748" s="46" t="s">
        <v>1085</v>
      </c>
    </row>
    <row r="749" spans="1:6" x14ac:dyDescent="0.2">
      <c r="A749" s="44" t="s">
        <v>1487</v>
      </c>
      <c r="D749" s="1" t="s">
        <v>1487</v>
      </c>
      <c r="E749" s="1" t="s">
        <v>1087</v>
      </c>
      <c r="F749" s="1" t="s">
        <v>1087</v>
      </c>
    </row>
    <row r="750" spans="1:6" x14ac:dyDescent="0.2">
      <c r="A750" s="46" t="s">
        <v>1087</v>
      </c>
    </row>
    <row r="751" spans="1:6" x14ac:dyDescent="0.2">
      <c r="A751" s="46" t="s">
        <v>1088</v>
      </c>
    </row>
    <row r="752" spans="1:6" x14ac:dyDescent="0.2">
      <c r="A752" s="44" t="s">
        <v>1488</v>
      </c>
      <c r="D752" s="1" t="s">
        <v>1488</v>
      </c>
      <c r="E752" s="1" t="s">
        <v>1090</v>
      </c>
      <c r="F752" s="1" t="s">
        <v>1090</v>
      </c>
    </row>
    <row r="753" spans="1:6" x14ac:dyDescent="0.2">
      <c r="A753" s="46" t="s">
        <v>1090</v>
      </c>
    </row>
    <row r="754" spans="1:6" x14ac:dyDescent="0.2">
      <c r="A754" s="46" t="s">
        <v>1091</v>
      </c>
    </row>
    <row r="755" spans="1:6" x14ac:dyDescent="0.2">
      <c r="A755" s="44" t="s">
        <v>1489</v>
      </c>
      <c r="D755" s="1" t="s">
        <v>1489</v>
      </c>
      <c r="E755" s="1" t="s">
        <v>1093</v>
      </c>
      <c r="F755" s="1" t="s">
        <v>1093</v>
      </c>
    </row>
    <row r="756" spans="1:6" x14ac:dyDescent="0.2">
      <c r="A756" s="46" t="s">
        <v>1093</v>
      </c>
    </row>
    <row r="757" spans="1:6" x14ac:dyDescent="0.2">
      <c r="A757" s="46" t="s">
        <v>1094</v>
      </c>
    </row>
    <row r="758" spans="1:6" x14ac:dyDescent="0.2">
      <c r="A758" s="44" t="s">
        <v>1490</v>
      </c>
      <c r="D758" s="1" t="s">
        <v>1490</v>
      </c>
      <c r="E758" s="1" t="s">
        <v>1096</v>
      </c>
      <c r="F758" s="1" t="s">
        <v>1096</v>
      </c>
    </row>
    <row r="759" spans="1:6" x14ac:dyDescent="0.2">
      <c r="A759" s="46" t="s">
        <v>1096</v>
      </c>
    </row>
    <row r="760" spans="1:6" x14ac:dyDescent="0.2">
      <c r="A760" s="46" t="s">
        <v>1097</v>
      </c>
    </row>
    <row r="761" spans="1:6" x14ac:dyDescent="0.2">
      <c r="A761" s="44" t="s">
        <v>1491</v>
      </c>
      <c r="D761" s="1" t="s">
        <v>1491</v>
      </c>
      <c r="E761" s="1" t="s">
        <v>1099</v>
      </c>
      <c r="F761" s="1" t="s">
        <v>1099</v>
      </c>
    </row>
    <row r="762" spans="1:6" x14ac:dyDescent="0.2">
      <c r="A762" s="46" t="s">
        <v>1099</v>
      </c>
    </row>
    <row r="763" spans="1:6" x14ac:dyDescent="0.2">
      <c r="A763" s="46" t="s">
        <v>1100</v>
      </c>
    </row>
    <row r="764" spans="1:6" x14ac:dyDescent="0.2">
      <c r="A764" s="44" t="s">
        <v>1492</v>
      </c>
      <c r="D764" s="1" t="s">
        <v>1492</v>
      </c>
      <c r="E764" s="1" t="s">
        <v>939</v>
      </c>
      <c r="F764" s="1" t="s">
        <v>939</v>
      </c>
    </row>
    <row r="765" spans="1:6" x14ac:dyDescent="0.2">
      <c r="A765" s="46" t="s">
        <v>939</v>
      </c>
    </row>
    <row r="766" spans="1:6" x14ac:dyDescent="0.2">
      <c r="A766" s="46" t="s">
        <v>940</v>
      </c>
    </row>
    <row r="767" spans="1:6" x14ac:dyDescent="0.2">
      <c r="A767" s="44" t="s">
        <v>1493</v>
      </c>
      <c r="D767" s="1" t="s">
        <v>1493</v>
      </c>
      <c r="E767" s="1" t="s">
        <v>936</v>
      </c>
      <c r="F767" s="1" t="s">
        <v>936</v>
      </c>
    </row>
    <row r="768" spans="1:6" x14ac:dyDescent="0.2">
      <c r="A768" s="46" t="s">
        <v>936</v>
      </c>
    </row>
    <row r="769" spans="1:6" x14ac:dyDescent="0.2">
      <c r="A769" s="46" t="s">
        <v>937</v>
      </c>
    </row>
    <row r="770" spans="1:6" x14ac:dyDescent="0.2">
      <c r="A770" s="44" t="s">
        <v>1494</v>
      </c>
      <c r="D770" s="1" t="s">
        <v>1494</v>
      </c>
      <c r="E770" s="1" t="s">
        <v>927</v>
      </c>
      <c r="F770" s="1" t="s">
        <v>927</v>
      </c>
    </row>
    <row r="771" spans="1:6" x14ac:dyDescent="0.2">
      <c r="A771" s="46" t="s">
        <v>927</v>
      </c>
    </row>
    <row r="772" spans="1:6" x14ac:dyDescent="0.2">
      <c r="A772" s="46" t="s">
        <v>928</v>
      </c>
    </row>
    <row r="773" spans="1:6" x14ac:dyDescent="0.2">
      <c r="A773" s="44" t="s">
        <v>1495</v>
      </c>
      <c r="D773" s="1" t="s">
        <v>1495</v>
      </c>
      <c r="E773" s="1" t="s">
        <v>930</v>
      </c>
      <c r="F773" s="1" t="s">
        <v>930</v>
      </c>
    </row>
    <row r="774" spans="1:6" x14ac:dyDescent="0.2">
      <c r="A774" s="46" t="s">
        <v>930</v>
      </c>
    </row>
    <row r="775" spans="1:6" x14ac:dyDescent="0.2">
      <c r="A775" s="46" t="s">
        <v>931</v>
      </c>
    </row>
    <row r="776" spans="1:6" x14ac:dyDescent="0.2">
      <c r="A776" s="44" t="s">
        <v>1496</v>
      </c>
      <c r="D776" s="1" t="s">
        <v>1496</v>
      </c>
      <c r="E776" s="1" t="s">
        <v>942</v>
      </c>
      <c r="F776" s="1" t="s">
        <v>942</v>
      </c>
    </row>
    <row r="777" spans="1:6" x14ac:dyDescent="0.2">
      <c r="A777" s="46" t="s">
        <v>942</v>
      </c>
    </row>
    <row r="778" spans="1:6" x14ac:dyDescent="0.2">
      <c r="A778" s="46" t="s">
        <v>943</v>
      </c>
    </row>
    <row r="779" spans="1:6" x14ac:dyDescent="0.2">
      <c r="A779" s="44" t="s">
        <v>1497</v>
      </c>
      <c r="D779" s="1" t="s">
        <v>1497</v>
      </c>
      <c r="E779" s="1" t="s">
        <v>945</v>
      </c>
      <c r="F779" s="1" t="s">
        <v>945</v>
      </c>
    </row>
    <row r="780" spans="1:6" x14ac:dyDescent="0.2">
      <c r="A780" s="46" t="s">
        <v>945</v>
      </c>
    </row>
    <row r="781" spans="1:6" x14ac:dyDescent="0.2">
      <c r="A781" s="46" t="s">
        <v>946</v>
      </c>
    </row>
    <row r="782" spans="1:6" x14ac:dyDescent="0.2">
      <c r="A782" s="44" t="s">
        <v>1498</v>
      </c>
      <c r="D782" s="1" t="s">
        <v>1498</v>
      </c>
      <c r="E782" s="1" t="s">
        <v>948</v>
      </c>
      <c r="F782" s="1" t="s">
        <v>948</v>
      </c>
    </row>
    <row r="783" spans="1:6" x14ac:dyDescent="0.2">
      <c r="A783" s="46" t="s">
        <v>948</v>
      </c>
    </row>
    <row r="784" spans="1:6" x14ac:dyDescent="0.2">
      <c r="A784" s="46" t="s">
        <v>949</v>
      </c>
    </row>
    <row r="785" spans="1:6" x14ac:dyDescent="0.2">
      <c r="A785" s="44" t="s">
        <v>1499</v>
      </c>
      <c r="D785" s="1" t="s">
        <v>1499</v>
      </c>
      <c r="E785" s="1" t="s">
        <v>933</v>
      </c>
      <c r="F785" s="1" t="s">
        <v>933</v>
      </c>
    </row>
    <row r="786" spans="1:6" x14ac:dyDescent="0.2">
      <c r="A786" s="46" t="s">
        <v>933</v>
      </c>
    </row>
    <row r="787" spans="1:6" x14ac:dyDescent="0.2">
      <c r="A787" s="46" t="s">
        <v>934</v>
      </c>
    </row>
    <row r="788" spans="1:6" x14ac:dyDescent="0.2">
      <c r="A788" s="44" t="s">
        <v>1500</v>
      </c>
      <c r="D788" s="1" t="s">
        <v>1500</v>
      </c>
      <c r="E788" s="1" t="s">
        <v>951</v>
      </c>
      <c r="F788" s="1" t="s">
        <v>951</v>
      </c>
    </row>
    <row r="789" spans="1:6" x14ac:dyDescent="0.2">
      <c r="A789" s="46" t="s">
        <v>951</v>
      </c>
    </row>
    <row r="790" spans="1:6" x14ac:dyDescent="0.2">
      <c r="A790" s="46" t="s">
        <v>937</v>
      </c>
    </row>
    <row r="791" spans="1:6" x14ac:dyDescent="0.2">
      <c r="A791" s="44" t="s">
        <v>1501</v>
      </c>
      <c r="D791" s="1" t="s">
        <v>1501</v>
      </c>
      <c r="E791" s="1" t="s">
        <v>953</v>
      </c>
      <c r="F791" s="1" t="s">
        <v>953</v>
      </c>
    </row>
    <row r="792" spans="1:6" x14ac:dyDescent="0.2">
      <c r="A792" s="46" t="s">
        <v>953</v>
      </c>
    </row>
    <row r="793" spans="1:6" x14ac:dyDescent="0.2">
      <c r="A793" s="46" t="s">
        <v>954</v>
      </c>
    </row>
    <row r="794" spans="1:6" x14ac:dyDescent="0.2">
      <c r="A794" s="44" t="s">
        <v>1502</v>
      </c>
      <c r="D794" s="1" t="s">
        <v>1502</v>
      </c>
      <c r="E794" s="1" t="s">
        <v>956</v>
      </c>
      <c r="F794" s="1" t="s">
        <v>956</v>
      </c>
    </row>
    <row r="795" spans="1:6" x14ac:dyDescent="0.2">
      <c r="A795" s="46" t="s">
        <v>956</v>
      </c>
    </row>
    <row r="796" spans="1:6" x14ac:dyDescent="0.2">
      <c r="A796" s="46" t="s">
        <v>957</v>
      </c>
    </row>
    <row r="797" spans="1:6" x14ac:dyDescent="0.2">
      <c r="A797" s="44" t="s">
        <v>1503</v>
      </c>
      <c r="D797" s="1" t="s">
        <v>1503</v>
      </c>
      <c r="E797" s="1" t="s">
        <v>959</v>
      </c>
      <c r="F797" s="1" t="s">
        <v>959</v>
      </c>
    </row>
    <row r="798" spans="1:6" x14ac:dyDescent="0.2">
      <c r="A798" s="46" t="s">
        <v>959</v>
      </c>
    </row>
    <row r="799" spans="1:6" x14ac:dyDescent="0.2">
      <c r="A799" s="46" t="s">
        <v>960</v>
      </c>
    </row>
    <row r="800" spans="1:6" x14ac:dyDescent="0.2">
      <c r="A800" s="44" t="s">
        <v>1504</v>
      </c>
      <c r="D800" s="1" t="s">
        <v>1504</v>
      </c>
      <c r="E800" s="1" t="s">
        <v>962</v>
      </c>
      <c r="F800" s="1" t="s">
        <v>962</v>
      </c>
    </row>
    <row r="801" spans="1:6" x14ac:dyDescent="0.2">
      <c r="A801" s="46" t="s">
        <v>962</v>
      </c>
    </row>
    <row r="802" spans="1:6" x14ac:dyDescent="0.2">
      <c r="A802" s="46" t="s">
        <v>963</v>
      </c>
    </row>
    <row r="803" spans="1:6" x14ac:dyDescent="0.2">
      <c r="A803" s="44" t="s">
        <v>1505</v>
      </c>
      <c r="D803" s="1" t="s">
        <v>1505</v>
      </c>
      <c r="E803" s="1" t="s">
        <v>1102</v>
      </c>
      <c r="F803" s="1" t="s">
        <v>1102</v>
      </c>
    </row>
    <row r="804" spans="1:6" x14ac:dyDescent="0.2">
      <c r="A804" s="46" t="s">
        <v>1102</v>
      </c>
    </row>
    <row r="805" spans="1:6" x14ac:dyDescent="0.2">
      <c r="A805" s="46" t="s">
        <v>1103</v>
      </c>
    </row>
    <row r="806" spans="1:6" x14ac:dyDescent="0.2">
      <c r="A806" s="44" t="s">
        <v>1506</v>
      </c>
      <c r="D806" s="1" t="s">
        <v>1506</v>
      </c>
      <c r="E806" s="1" t="s">
        <v>1105</v>
      </c>
      <c r="F806" s="1" t="s">
        <v>1105</v>
      </c>
    </row>
    <row r="807" spans="1:6" x14ac:dyDescent="0.2">
      <c r="A807" s="46" t="s">
        <v>1105</v>
      </c>
    </row>
    <row r="808" spans="1:6" x14ac:dyDescent="0.2">
      <c r="A808" s="46" t="s">
        <v>1106</v>
      </c>
    </row>
    <row r="809" spans="1:6" x14ac:dyDescent="0.2">
      <c r="A809" s="44" t="s">
        <v>1507</v>
      </c>
      <c r="D809" s="1" t="s">
        <v>1507</v>
      </c>
      <c r="E809" s="1" t="s">
        <v>956</v>
      </c>
      <c r="F809" s="1" t="s">
        <v>956</v>
      </c>
    </row>
    <row r="810" spans="1:6" x14ac:dyDescent="0.2">
      <c r="A810" s="46" t="s">
        <v>956</v>
      </c>
    </row>
    <row r="811" spans="1:6" x14ac:dyDescent="0.2">
      <c r="A811" s="46" t="s">
        <v>1108</v>
      </c>
    </row>
    <row r="812" spans="1:6" x14ac:dyDescent="0.2">
      <c r="A812" s="44" t="s">
        <v>1508</v>
      </c>
      <c r="D812" s="1" t="s">
        <v>1508</v>
      </c>
      <c r="E812" s="1" t="s">
        <v>1110</v>
      </c>
      <c r="F812" s="1" t="s">
        <v>1110</v>
      </c>
    </row>
    <row r="813" spans="1:6" x14ac:dyDescent="0.2">
      <c r="A813" s="46" t="s">
        <v>1110</v>
      </c>
    </row>
    <row r="814" spans="1:6" x14ac:dyDescent="0.2">
      <c r="A814" s="46" t="s">
        <v>1111</v>
      </c>
    </row>
    <row r="815" spans="1:6" x14ac:dyDescent="0.2">
      <c r="A815" s="44" t="s">
        <v>1509</v>
      </c>
      <c r="D815" s="1" t="s">
        <v>1509</v>
      </c>
      <c r="E815" s="1" t="s">
        <v>927</v>
      </c>
      <c r="F815" s="1" t="s">
        <v>927</v>
      </c>
    </row>
    <row r="816" spans="1:6" x14ac:dyDescent="0.2">
      <c r="A816" s="46" t="s">
        <v>927</v>
      </c>
    </row>
    <row r="817" spans="1:6" x14ac:dyDescent="0.2">
      <c r="A817" s="46" t="s">
        <v>1113</v>
      </c>
    </row>
    <row r="818" spans="1:6" x14ac:dyDescent="0.2">
      <c r="A818" s="44" t="s">
        <v>1510</v>
      </c>
      <c r="D818" s="1" t="s">
        <v>1510</v>
      </c>
      <c r="E818" s="1" t="s">
        <v>970</v>
      </c>
      <c r="F818" s="1" t="s">
        <v>970</v>
      </c>
    </row>
    <row r="819" spans="1:6" x14ac:dyDescent="0.2">
      <c r="A819" s="46" t="s">
        <v>970</v>
      </c>
    </row>
    <row r="820" spans="1:6" x14ac:dyDescent="0.2">
      <c r="A820" s="46" t="s">
        <v>971</v>
      </c>
    </row>
    <row r="821" spans="1:6" x14ac:dyDescent="0.2">
      <c r="A821" s="44" t="s">
        <v>1511</v>
      </c>
      <c r="D821" s="1" t="s">
        <v>1511</v>
      </c>
      <c r="E821" s="1" t="s">
        <v>1003</v>
      </c>
      <c r="F821" s="1" t="s">
        <v>1003</v>
      </c>
    </row>
    <row r="822" spans="1:6" x14ac:dyDescent="0.2">
      <c r="A822" s="46" t="s">
        <v>1003</v>
      </c>
    </row>
    <row r="823" spans="1:6" x14ac:dyDescent="0.2">
      <c r="A823" s="46" t="s">
        <v>1116</v>
      </c>
    </row>
    <row r="824" spans="1:6" x14ac:dyDescent="0.2">
      <c r="A824" s="44" t="s">
        <v>1512</v>
      </c>
      <c r="D824" s="1" t="s">
        <v>1512</v>
      </c>
      <c r="E824" s="1" t="s">
        <v>1118</v>
      </c>
      <c r="F824" s="1" t="s">
        <v>1118</v>
      </c>
    </row>
    <row r="825" spans="1:6" x14ac:dyDescent="0.2">
      <c r="A825" s="46" t="s">
        <v>1118</v>
      </c>
    </row>
    <row r="826" spans="1:6" x14ac:dyDescent="0.2">
      <c r="A826" s="46" t="s">
        <v>1119</v>
      </c>
    </row>
    <row r="827" spans="1:6" x14ac:dyDescent="0.2">
      <c r="A827" s="44" t="s">
        <v>1513</v>
      </c>
      <c r="D827" s="1" t="s">
        <v>1513</v>
      </c>
      <c r="E827" s="1" t="s">
        <v>927</v>
      </c>
      <c r="F827" s="1" t="s">
        <v>927</v>
      </c>
    </row>
    <row r="828" spans="1:6" x14ac:dyDescent="0.2">
      <c r="A828" s="46" t="s">
        <v>927</v>
      </c>
    </row>
    <row r="829" spans="1:6" x14ac:dyDescent="0.2">
      <c r="A829" s="46" t="s">
        <v>1121</v>
      </c>
    </row>
    <row r="830" spans="1:6" x14ac:dyDescent="0.2">
      <c r="A830" s="44" t="s">
        <v>1514</v>
      </c>
      <c r="D830" s="1" t="s">
        <v>1514</v>
      </c>
      <c r="E830" s="1" t="s">
        <v>1123</v>
      </c>
      <c r="F830" s="1" t="s">
        <v>1123</v>
      </c>
    </row>
    <row r="831" spans="1:6" x14ac:dyDescent="0.2">
      <c r="A831" s="46" t="s">
        <v>1123</v>
      </c>
    </row>
    <row r="832" spans="1:6" x14ac:dyDescent="0.2">
      <c r="A832" s="46" t="s">
        <v>1124</v>
      </c>
    </row>
    <row r="833" spans="1:6" x14ac:dyDescent="0.2">
      <c r="A833" s="44" t="s">
        <v>1515</v>
      </c>
      <c r="D833" s="1" t="s">
        <v>1515</v>
      </c>
      <c r="E833" s="1" t="s">
        <v>927</v>
      </c>
      <c r="F833" s="1" t="s">
        <v>927</v>
      </c>
    </row>
    <row r="834" spans="1:6" x14ac:dyDescent="0.2">
      <c r="A834" s="46" t="s">
        <v>927</v>
      </c>
    </row>
    <row r="835" spans="1:6" x14ac:dyDescent="0.2">
      <c r="A835" s="46" t="s">
        <v>1126</v>
      </c>
    </row>
    <row r="836" spans="1:6" x14ac:dyDescent="0.2">
      <c r="A836" s="44" t="s">
        <v>1516</v>
      </c>
      <c r="D836" s="1" t="s">
        <v>1516</v>
      </c>
      <c r="E836" s="1" t="s">
        <v>1128</v>
      </c>
      <c r="F836" s="1" t="s">
        <v>1128</v>
      </c>
    </row>
    <row r="837" spans="1:6" x14ac:dyDescent="0.2">
      <c r="A837" s="46" t="s">
        <v>1128</v>
      </c>
    </row>
    <row r="838" spans="1:6" x14ac:dyDescent="0.2">
      <c r="A838" s="46" t="s">
        <v>1129</v>
      </c>
    </row>
    <row r="839" spans="1:6" x14ac:dyDescent="0.2">
      <c r="A839" s="44" t="s">
        <v>1517</v>
      </c>
      <c r="D839" s="1" t="s">
        <v>1517</v>
      </c>
      <c r="E839" s="1" t="s">
        <v>951</v>
      </c>
      <c r="F839" s="1" t="s">
        <v>951</v>
      </c>
    </row>
    <row r="840" spans="1:6" x14ac:dyDescent="0.2">
      <c r="A840" s="46" t="s">
        <v>951</v>
      </c>
    </row>
    <row r="841" spans="1:6" x14ac:dyDescent="0.2">
      <c r="A841" s="46" t="s">
        <v>1131</v>
      </c>
    </row>
    <row r="842" spans="1:6" x14ac:dyDescent="0.2">
      <c r="A842" s="44" t="s">
        <v>1518</v>
      </c>
      <c r="D842" s="1" t="s">
        <v>1518</v>
      </c>
      <c r="E842" s="1" t="s">
        <v>1133</v>
      </c>
      <c r="F842" s="1" t="s">
        <v>1133</v>
      </c>
    </row>
    <row r="843" spans="1:6" x14ac:dyDescent="0.2">
      <c r="A843" s="46" t="s">
        <v>1133</v>
      </c>
    </row>
    <row r="844" spans="1:6" x14ac:dyDescent="0.2">
      <c r="A844" s="46" t="s">
        <v>1134</v>
      </c>
    </row>
    <row r="845" spans="1:6" x14ac:dyDescent="0.2">
      <c r="A845" s="44" t="s">
        <v>1519</v>
      </c>
      <c r="D845" s="1" t="s">
        <v>1519</v>
      </c>
      <c r="E845" s="1" t="s">
        <v>1136</v>
      </c>
      <c r="F845" s="1" t="s">
        <v>1136</v>
      </c>
    </row>
    <row r="846" spans="1:6" x14ac:dyDescent="0.2">
      <c r="A846" s="46" t="s">
        <v>1136</v>
      </c>
    </row>
    <row r="847" spans="1:6" x14ac:dyDescent="0.2">
      <c r="A847" s="46" t="s">
        <v>1137</v>
      </c>
    </row>
    <row r="848" spans="1:6" x14ac:dyDescent="0.2">
      <c r="A848" s="44" t="s">
        <v>1520</v>
      </c>
      <c r="D848" s="1" t="s">
        <v>1520</v>
      </c>
      <c r="E848" s="1" t="s">
        <v>1139</v>
      </c>
      <c r="F848" s="1" t="s">
        <v>1139</v>
      </c>
    </row>
    <row r="849" spans="1:6" x14ac:dyDescent="0.2">
      <c r="A849" s="46" t="s">
        <v>1139</v>
      </c>
    </row>
    <row r="850" spans="1:6" x14ac:dyDescent="0.2">
      <c r="A850" s="46" t="s">
        <v>1140</v>
      </c>
    </row>
    <row r="851" spans="1:6" x14ac:dyDescent="0.2">
      <c r="A851" s="44" t="s">
        <v>1521</v>
      </c>
      <c r="D851" s="1" t="s">
        <v>1521</v>
      </c>
      <c r="E851" s="1" t="s">
        <v>956</v>
      </c>
      <c r="F851" s="1" t="s">
        <v>956</v>
      </c>
    </row>
    <row r="852" spans="1:6" x14ac:dyDescent="0.2">
      <c r="A852" s="46" t="s">
        <v>956</v>
      </c>
    </row>
    <row r="853" spans="1:6" x14ac:dyDescent="0.2">
      <c r="A853" s="46" t="s">
        <v>1142</v>
      </c>
    </row>
    <row r="854" spans="1:6" x14ac:dyDescent="0.2">
      <c r="A854" s="44" t="s">
        <v>1522</v>
      </c>
      <c r="D854" s="1" t="s">
        <v>1522</v>
      </c>
      <c r="E854" s="1" t="s">
        <v>1144</v>
      </c>
      <c r="F854" s="1" t="s">
        <v>1144</v>
      </c>
    </row>
    <row r="855" spans="1:6" x14ac:dyDescent="0.2">
      <c r="A855" s="46" t="s">
        <v>1144</v>
      </c>
    </row>
    <row r="856" spans="1:6" x14ac:dyDescent="0.2">
      <c r="A856" s="46" t="s">
        <v>1145</v>
      </c>
    </row>
    <row r="857" spans="1:6" x14ac:dyDescent="0.2">
      <c r="A857" s="44" t="s">
        <v>1523</v>
      </c>
      <c r="D857" s="1" t="s">
        <v>1523</v>
      </c>
      <c r="E857" s="1" t="s">
        <v>1147</v>
      </c>
      <c r="F857" s="1" t="s">
        <v>1147</v>
      </c>
    </row>
    <row r="858" spans="1:6" x14ac:dyDescent="0.2">
      <c r="A858" s="46" t="s">
        <v>1147</v>
      </c>
    </row>
    <row r="859" spans="1:6" x14ac:dyDescent="0.2">
      <c r="A859" s="46" t="s">
        <v>1148</v>
      </c>
    </row>
    <row r="860" spans="1:6" x14ac:dyDescent="0.2">
      <c r="A860" s="44" t="s">
        <v>1524</v>
      </c>
      <c r="D860" s="1" t="s">
        <v>1524</v>
      </c>
      <c r="E860" s="1" t="s">
        <v>1150</v>
      </c>
      <c r="F860" s="1" t="s">
        <v>1150</v>
      </c>
    </row>
    <row r="861" spans="1:6" x14ac:dyDescent="0.2">
      <c r="A861" s="46" t="s">
        <v>1150</v>
      </c>
    </row>
    <row r="862" spans="1:6" x14ac:dyDescent="0.2">
      <c r="A862" s="46" t="s">
        <v>1151</v>
      </c>
    </row>
    <row r="863" spans="1:6" x14ac:dyDescent="0.2">
      <c r="A863" s="44" t="s">
        <v>1525</v>
      </c>
      <c r="D863" s="1" t="s">
        <v>1525</v>
      </c>
      <c r="E863" s="1" t="s">
        <v>970</v>
      </c>
      <c r="F863" s="1" t="s">
        <v>970</v>
      </c>
    </row>
    <row r="864" spans="1:6" x14ac:dyDescent="0.2">
      <c r="A864" s="46" t="s">
        <v>970</v>
      </c>
    </row>
    <row r="865" spans="1:6" x14ac:dyDescent="0.2">
      <c r="A865" s="46" t="s">
        <v>1153</v>
      </c>
    </row>
    <row r="866" spans="1:6" x14ac:dyDescent="0.2">
      <c r="A866" s="44" t="s">
        <v>1526</v>
      </c>
      <c r="D866" s="1" t="s">
        <v>1526</v>
      </c>
      <c r="E866" s="1" t="s">
        <v>1155</v>
      </c>
      <c r="F866" s="1" t="s">
        <v>1155</v>
      </c>
    </row>
    <row r="867" spans="1:6" x14ac:dyDescent="0.2">
      <c r="A867" s="46" t="s">
        <v>1155</v>
      </c>
    </row>
    <row r="868" spans="1:6" x14ac:dyDescent="0.2">
      <c r="A868" s="46" t="s">
        <v>1156</v>
      </c>
    </row>
    <row r="869" spans="1:6" x14ac:dyDescent="0.2">
      <c r="A869" s="44" t="s">
        <v>1527</v>
      </c>
      <c r="D869" s="1" t="s">
        <v>1527</v>
      </c>
      <c r="E869" s="1" t="s">
        <v>1158</v>
      </c>
      <c r="F869" s="1" t="s">
        <v>1158</v>
      </c>
    </row>
    <row r="870" spans="1:6" x14ac:dyDescent="0.2">
      <c r="A870" s="46" t="s">
        <v>1158</v>
      </c>
    </row>
    <row r="871" spans="1:6" x14ac:dyDescent="0.2">
      <c r="A871" s="46" t="s">
        <v>1159</v>
      </c>
    </row>
    <row r="872" spans="1:6" x14ac:dyDescent="0.2">
      <c r="A872" s="44" t="s">
        <v>1528</v>
      </c>
      <c r="D872" s="1" t="s">
        <v>1528</v>
      </c>
      <c r="E872" s="1" t="s">
        <v>970</v>
      </c>
      <c r="F872" s="1" t="s">
        <v>970</v>
      </c>
    </row>
    <row r="873" spans="1:6" x14ac:dyDescent="0.2">
      <c r="A873" s="46" t="s">
        <v>970</v>
      </c>
    </row>
    <row r="874" spans="1:6" x14ac:dyDescent="0.2">
      <c r="A874" s="46" t="s">
        <v>971</v>
      </c>
    </row>
    <row r="875" spans="1:6" x14ac:dyDescent="0.2">
      <c r="A875" s="44" t="s">
        <v>1529</v>
      </c>
      <c r="D875" s="1" t="s">
        <v>1529</v>
      </c>
      <c r="E875" s="1" t="s">
        <v>1162</v>
      </c>
      <c r="F875" s="1" t="s">
        <v>1162</v>
      </c>
    </row>
    <row r="876" spans="1:6" x14ac:dyDescent="0.2">
      <c r="A876" s="46" t="s">
        <v>1162</v>
      </c>
    </row>
    <row r="877" spans="1:6" x14ac:dyDescent="0.2">
      <c r="A877" s="46" t="s">
        <v>1163</v>
      </c>
    </row>
    <row r="878" spans="1:6" x14ac:dyDescent="0.2">
      <c r="A878" s="44" t="s">
        <v>1530</v>
      </c>
      <c r="D878" s="1" t="s">
        <v>1530</v>
      </c>
      <c r="E878" s="1" t="s">
        <v>1162</v>
      </c>
      <c r="F878" s="1" t="s">
        <v>1162</v>
      </c>
    </row>
    <row r="879" spans="1:6" x14ac:dyDescent="0.2">
      <c r="A879" s="46" t="s">
        <v>1162</v>
      </c>
    </row>
    <row r="880" spans="1:6" x14ac:dyDescent="0.2">
      <c r="A880" s="46" t="s">
        <v>1165</v>
      </c>
    </row>
    <row r="881" spans="1:6" x14ac:dyDescent="0.2">
      <c r="A881" s="44" t="s">
        <v>1531</v>
      </c>
      <c r="D881" s="1" t="s">
        <v>1531</v>
      </c>
      <c r="E881" s="1" t="s">
        <v>1167</v>
      </c>
      <c r="F881" s="1" t="s">
        <v>1167</v>
      </c>
    </row>
    <row r="882" spans="1:6" x14ac:dyDescent="0.2">
      <c r="A882" s="46" t="s">
        <v>1167</v>
      </c>
    </row>
    <row r="883" spans="1:6" x14ac:dyDescent="0.2">
      <c r="A883" s="46" t="s">
        <v>1168</v>
      </c>
    </row>
    <row r="884" spans="1:6" x14ac:dyDescent="0.2">
      <c r="A884" s="44" t="s">
        <v>1532</v>
      </c>
      <c r="D884" s="1" t="s">
        <v>1532</v>
      </c>
      <c r="E884" s="1" t="s">
        <v>1133</v>
      </c>
      <c r="F884" s="1" t="s">
        <v>1133</v>
      </c>
    </row>
    <row r="885" spans="1:6" x14ac:dyDescent="0.2">
      <c r="A885" s="46" t="s">
        <v>1133</v>
      </c>
    </row>
    <row r="886" spans="1:6" x14ac:dyDescent="0.2">
      <c r="A886" s="46" t="s">
        <v>1170</v>
      </c>
    </row>
    <row r="887" spans="1:6" x14ac:dyDescent="0.2">
      <c r="A887" s="44" t="s">
        <v>1533</v>
      </c>
      <c r="D887" s="1" t="s">
        <v>1533</v>
      </c>
      <c r="E887" s="1" t="s">
        <v>1172</v>
      </c>
      <c r="F887" s="1" t="s">
        <v>1172</v>
      </c>
    </row>
    <row r="888" spans="1:6" x14ac:dyDescent="0.2">
      <c r="A888" s="46" t="s">
        <v>1172</v>
      </c>
    </row>
    <row r="889" spans="1:6" x14ac:dyDescent="0.2">
      <c r="A889" s="46" t="s">
        <v>1173</v>
      </c>
    </row>
    <row r="890" spans="1:6" x14ac:dyDescent="0.2">
      <c r="A890" s="44" t="s">
        <v>1534</v>
      </c>
      <c r="D890" s="1" t="s">
        <v>1534</v>
      </c>
      <c r="E890" s="1" t="s">
        <v>1175</v>
      </c>
      <c r="F890" s="1" t="s">
        <v>1175</v>
      </c>
    </row>
    <row r="891" spans="1:6" x14ac:dyDescent="0.2">
      <c r="A891" s="46" t="s">
        <v>1175</v>
      </c>
    </row>
    <row r="892" spans="1:6" x14ac:dyDescent="0.2">
      <c r="A892" s="46" t="s">
        <v>1176</v>
      </c>
    </row>
    <row r="893" spans="1:6" x14ac:dyDescent="0.2">
      <c r="A893" s="44" t="s">
        <v>1535</v>
      </c>
      <c r="D893" s="1" t="s">
        <v>1535</v>
      </c>
      <c r="E893" s="1" t="s">
        <v>970</v>
      </c>
      <c r="F893" s="1" t="s">
        <v>970</v>
      </c>
    </row>
    <row r="894" spans="1:6" x14ac:dyDescent="0.2">
      <c r="A894" s="46" t="s">
        <v>970</v>
      </c>
    </row>
    <row r="895" spans="1:6" x14ac:dyDescent="0.2">
      <c r="A895" s="46" t="s">
        <v>971</v>
      </c>
    </row>
    <row r="896" spans="1:6" x14ac:dyDescent="0.2">
      <c r="A896" s="44" t="s">
        <v>1536</v>
      </c>
      <c r="D896" s="1" t="s">
        <v>1536</v>
      </c>
      <c r="E896" s="1" t="s">
        <v>1026</v>
      </c>
      <c r="F896" s="1" t="s">
        <v>1026</v>
      </c>
    </row>
    <row r="897" spans="1:6" x14ac:dyDescent="0.2">
      <c r="A897" s="46" t="s">
        <v>1026</v>
      </c>
    </row>
    <row r="898" spans="1:6" x14ac:dyDescent="0.2">
      <c r="A898" s="46" t="s">
        <v>1178</v>
      </c>
    </row>
    <row r="899" spans="1:6" x14ac:dyDescent="0.2">
      <c r="A899" s="44" t="s">
        <v>1537</v>
      </c>
      <c r="D899" s="1" t="s">
        <v>1537</v>
      </c>
      <c r="E899" s="1" t="s">
        <v>1180</v>
      </c>
      <c r="F899" s="1" t="s">
        <v>1180</v>
      </c>
    </row>
    <row r="900" spans="1:6" x14ac:dyDescent="0.2">
      <c r="A900" s="46" t="s">
        <v>1180</v>
      </c>
    </row>
    <row r="901" spans="1:6" x14ac:dyDescent="0.2">
      <c r="A901" s="46" t="s">
        <v>1181</v>
      </c>
    </row>
    <row r="902" spans="1:6" x14ac:dyDescent="0.2">
      <c r="A902" s="44" t="s">
        <v>1538</v>
      </c>
      <c r="D902" s="1" t="s">
        <v>1538</v>
      </c>
      <c r="E902" s="1" t="s">
        <v>927</v>
      </c>
      <c r="F902" s="1" t="s">
        <v>927</v>
      </c>
    </row>
    <row r="903" spans="1:6" x14ac:dyDescent="0.2">
      <c r="A903" s="46" t="s">
        <v>927</v>
      </c>
    </row>
    <row r="904" spans="1:6" x14ac:dyDescent="0.2">
      <c r="A904" s="46" t="s">
        <v>1183</v>
      </c>
    </row>
    <row r="905" spans="1:6" x14ac:dyDescent="0.2">
      <c r="A905" s="44" t="s">
        <v>1539</v>
      </c>
      <c r="D905" s="1" t="s">
        <v>1539</v>
      </c>
      <c r="E905" s="1" t="s">
        <v>1054</v>
      </c>
      <c r="F905" s="1" t="s">
        <v>1054</v>
      </c>
    </row>
    <row r="906" spans="1:6" x14ac:dyDescent="0.2">
      <c r="A906" s="46" t="s">
        <v>1054</v>
      </c>
    </row>
    <row r="907" spans="1:6" x14ac:dyDescent="0.2">
      <c r="A907" s="46" t="s">
        <v>1185</v>
      </c>
    </row>
    <row r="908" spans="1:6" x14ac:dyDescent="0.2">
      <c r="A908" s="44" t="s">
        <v>1540</v>
      </c>
      <c r="D908" s="1" t="s">
        <v>1540</v>
      </c>
      <c r="E908" s="1" t="s">
        <v>927</v>
      </c>
      <c r="F908" s="1" t="s">
        <v>927</v>
      </c>
    </row>
    <row r="909" spans="1:6" x14ac:dyDescent="0.2">
      <c r="A909" s="46" t="s">
        <v>927</v>
      </c>
    </row>
    <row r="910" spans="1:6" x14ac:dyDescent="0.2">
      <c r="A910" s="46" t="s">
        <v>1187</v>
      </c>
    </row>
    <row r="911" spans="1:6" x14ac:dyDescent="0.2">
      <c r="A911" s="44" t="s">
        <v>1541</v>
      </c>
      <c r="D911" s="1" t="s">
        <v>1541</v>
      </c>
      <c r="E911" s="1" t="s">
        <v>1189</v>
      </c>
      <c r="F911" s="1" t="s">
        <v>1189</v>
      </c>
    </row>
    <row r="912" spans="1:6" x14ac:dyDescent="0.2">
      <c r="A912" s="46" t="s">
        <v>1189</v>
      </c>
    </row>
    <row r="913" spans="1:6" x14ac:dyDescent="0.2">
      <c r="A913" s="46" t="s">
        <v>1190</v>
      </c>
    </row>
    <row r="914" spans="1:6" x14ac:dyDescent="0.2">
      <c r="A914" s="44" t="s">
        <v>1542</v>
      </c>
      <c r="D914" s="1" t="s">
        <v>1542</v>
      </c>
      <c r="E914" s="1" t="s">
        <v>1192</v>
      </c>
      <c r="F914" s="1" t="s">
        <v>1192</v>
      </c>
    </row>
    <row r="915" spans="1:6" x14ac:dyDescent="0.2">
      <c r="A915" s="46" t="s">
        <v>1192</v>
      </c>
    </row>
    <row r="916" spans="1:6" x14ac:dyDescent="0.2">
      <c r="A916" s="46" t="s">
        <v>1193</v>
      </c>
    </row>
    <row r="917" spans="1:6" x14ac:dyDescent="0.2">
      <c r="A917" s="44" t="s">
        <v>1543</v>
      </c>
      <c r="D917" s="1" t="s">
        <v>1543</v>
      </c>
      <c r="E917" s="1" t="s">
        <v>956</v>
      </c>
      <c r="F917" s="1" t="s">
        <v>956</v>
      </c>
    </row>
    <row r="918" spans="1:6" x14ac:dyDescent="0.2">
      <c r="A918" s="46" t="s">
        <v>956</v>
      </c>
    </row>
    <row r="919" spans="1:6" x14ac:dyDescent="0.2">
      <c r="A919" s="46" t="s">
        <v>1195</v>
      </c>
    </row>
    <row r="920" spans="1:6" x14ac:dyDescent="0.2">
      <c r="A920" s="44" t="s">
        <v>1544</v>
      </c>
      <c r="D920" s="1" t="s">
        <v>1544</v>
      </c>
      <c r="E920" s="1" t="s">
        <v>1197</v>
      </c>
      <c r="F920" s="1" t="s">
        <v>1197</v>
      </c>
    </row>
    <row r="921" spans="1:6" x14ac:dyDescent="0.2">
      <c r="A921" s="46" t="s">
        <v>1197</v>
      </c>
    </row>
    <row r="922" spans="1:6" x14ac:dyDescent="0.2">
      <c r="A922" s="46" t="s">
        <v>1020</v>
      </c>
    </row>
    <row r="923" spans="1:6" x14ac:dyDescent="0.2">
      <c r="A923" s="44" t="s">
        <v>1545</v>
      </c>
      <c r="D923" s="1" t="s">
        <v>1545</v>
      </c>
      <c r="E923" s="1" t="s">
        <v>1199</v>
      </c>
      <c r="F923" s="1" t="s">
        <v>1199</v>
      </c>
    </row>
    <row r="924" spans="1:6" x14ac:dyDescent="0.2">
      <c r="A924" s="46" t="s">
        <v>1199</v>
      </c>
    </row>
    <row r="925" spans="1:6" x14ac:dyDescent="0.2">
      <c r="A925" s="46" t="s">
        <v>1200</v>
      </c>
    </row>
    <row r="926" spans="1:6" x14ac:dyDescent="0.2">
      <c r="A926" s="44" t="s">
        <v>1546</v>
      </c>
      <c r="D926" s="1" t="s">
        <v>1546</v>
      </c>
      <c r="E926" s="1" t="s">
        <v>927</v>
      </c>
      <c r="F926" s="1" t="s">
        <v>927</v>
      </c>
    </row>
    <row r="927" spans="1:6" x14ac:dyDescent="0.2">
      <c r="A927" s="46" t="s">
        <v>927</v>
      </c>
    </row>
    <row r="928" spans="1:6" x14ac:dyDescent="0.2">
      <c r="A928" s="46" t="s">
        <v>1202</v>
      </c>
    </row>
    <row r="929" spans="1:6" x14ac:dyDescent="0.2">
      <c r="A929" s="44" t="s">
        <v>1547</v>
      </c>
      <c r="D929" s="1" t="s">
        <v>1547</v>
      </c>
      <c r="E929" s="1" t="s">
        <v>1204</v>
      </c>
      <c r="F929" s="1" t="s">
        <v>1204</v>
      </c>
    </row>
    <row r="930" spans="1:6" x14ac:dyDescent="0.2">
      <c r="A930" s="46" t="s">
        <v>1204</v>
      </c>
    </row>
    <row r="931" spans="1:6" x14ac:dyDescent="0.2">
      <c r="A931" s="46" t="s">
        <v>1205</v>
      </c>
    </row>
    <row r="932" spans="1:6" x14ac:dyDescent="0.2">
      <c r="A932" s="44" t="s">
        <v>1548</v>
      </c>
      <c r="D932" s="1" t="s">
        <v>1548</v>
      </c>
      <c r="E932" s="1" t="s">
        <v>927</v>
      </c>
      <c r="F932" s="1" t="s">
        <v>927</v>
      </c>
    </row>
    <row r="933" spans="1:6" x14ac:dyDescent="0.2">
      <c r="A933" s="46" t="s">
        <v>927</v>
      </c>
    </row>
    <row r="934" spans="1:6" x14ac:dyDescent="0.2">
      <c r="A934" s="46" t="s">
        <v>1207</v>
      </c>
    </row>
    <row r="935" spans="1:6" x14ac:dyDescent="0.2">
      <c r="A935" s="44" t="s">
        <v>1549</v>
      </c>
      <c r="D935" s="1" t="s">
        <v>1549</v>
      </c>
      <c r="E935" s="1" t="s">
        <v>1209</v>
      </c>
      <c r="F935" s="1" t="s">
        <v>1209</v>
      </c>
    </row>
    <row r="936" spans="1:6" x14ac:dyDescent="0.2">
      <c r="A936" s="46" t="s">
        <v>1209</v>
      </c>
    </row>
    <row r="937" spans="1:6" x14ac:dyDescent="0.2">
      <c r="A937" s="46" t="s">
        <v>1210</v>
      </c>
    </row>
    <row r="938" spans="1:6" x14ac:dyDescent="0.2">
      <c r="A938" s="44" t="s">
        <v>1550</v>
      </c>
      <c r="D938" s="1" t="s">
        <v>1550</v>
      </c>
      <c r="E938" s="1" t="s">
        <v>1212</v>
      </c>
      <c r="F938" s="1" t="s">
        <v>1212</v>
      </c>
    </row>
    <row r="939" spans="1:6" x14ac:dyDescent="0.2">
      <c r="A939" s="46" t="s">
        <v>1212</v>
      </c>
    </row>
    <row r="940" spans="1:6" x14ac:dyDescent="0.2">
      <c r="A940" s="46" t="s">
        <v>1213</v>
      </c>
    </row>
    <row r="941" spans="1:6" x14ac:dyDescent="0.2">
      <c r="A941" s="44" t="s">
        <v>1551</v>
      </c>
      <c r="D941" s="1" t="s">
        <v>1551</v>
      </c>
      <c r="E941" s="1" t="s">
        <v>1215</v>
      </c>
      <c r="F941" s="1" t="s">
        <v>1215</v>
      </c>
    </row>
    <row r="942" spans="1:6" x14ac:dyDescent="0.2">
      <c r="A942" s="46" t="s">
        <v>1215</v>
      </c>
    </row>
    <row r="943" spans="1:6" x14ac:dyDescent="0.2">
      <c r="A943" s="46" t="s">
        <v>1216</v>
      </c>
    </row>
    <row r="944" spans="1:6" x14ac:dyDescent="0.2">
      <c r="A944" s="44" t="s">
        <v>1552</v>
      </c>
      <c r="D944" s="1" t="s">
        <v>1552</v>
      </c>
      <c r="E944" s="1" t="s">
        <v>1042</v>
      </c>
      <c r="F944" s="1" t="s">
        <v>1042</v>
      </c>
    </row>
    <row r="945" spans="1:6" x14ac:dyDescent="0.2">
      <c r="A945" s="46" t="s">
        <v>1042</v>
      </c>
    </row>
    <row r="946" spans="1:6" x14ac:dyDescent="0.2">
      <c r="A946" s="46" t="s">
        <v>1218</v>
      </c>
    </row>
    <row r="947" spans="1:6" x14ac:dyDescent="0.2">
      <c r="A947" s="44" t="s">
        <v>1553</v>
      </c>
      <c r="D947" s="1" t="s">
        <v>1553</v>
      </c>
      <c r="E947" s="1" t="s">
        <v>1220</v>
      </c>
      <c r="F947" s="1" t="s">
        <v>1220</v>
      </c>
    </row>
    <row r="948" spans="1:6" x14ac:dyDescent="0.2">
      <c r="A948" s="46" t="s">
        <v>1220</v>
      </c>
    </row>
    <row r="949" spans="1:6" x14ac:dyDescent="0.2">
      <c r="A949" s="46" t="s">
        <v>1221</v>
      </c>
    </row>
    <row r="950" spans="1:6" x14ac:dyDescent="0.2">
      <c r="A950" s="44" t="s">
        <v>1554</v>
      </c>
      <c r="D950" s="1" t="s">
        <v>1554</v>
      </c>
      <c r="E950" s="1" t="s">
        <v>1223</v>
      </c>
      <c r="F950" s="1" t="s">
        <v>1223</v>
      </c>
    </row>
    <row r="951" spans="1:6" x14ac:dyDescent="0.2">
      <c r="A951" s="46" t="s">
        <v>1223</v>
      </c>
    </row>
    <row r="952" spans="1:6" x14ac:dyDescent="0.2">
      <c r="A952" s="46" t="s">
        <v>1224</v>
      </c>
    </row>
    <row r="953" spans="1:6" x14ac:dyDescent="0.2">
      <c r="A953" s="44" t="s">
        <v>1555</v>
      </c>
      <c r="D953" s="1" t="s">
        <v>1555</v>
      </c>
      <c r="E953" s="1" t="s">
        <v>1162</v>
      </c>
      <c r="F953" s="1" t="s">
        <v>1162</v>
      </c>
    </row>
    <row r="954" spans="1:6" x14ac:dyDescent="0.2">
      <c r="A954" s="46" t="s">
        <v>1162</v>
      </c>
    </row>
    <row r="955" spans="1:6" x14ac:dyDescent="0.2">
      <c r="A955" s="46" t="s">
        <v>1226</v>
      </c>
    </row>
    <row r="956" spans="1:6" x14ac:dyDescent="0.2">
      <c r="A956" s="44" t="s">
        <v>1556</v>
      </c>
      <c r="D956" s="1" t="s">
        <v>1556</v>
      </c>
      <c r="E956" s="1" t="s">
        <v>1228</v>
      </c>
      <c r="F956" s="1" t="s">
        <v>1228</v>
      </c>
    </row>
    <row r="957" spans="1:6" x14ac:dyDescent="0.2">
      <c r="A957" s="46" t="s">
        <v>1228</v>
      </c>
    </row>
    <row r="958" spans="1:6" x14ac:dyDescent="0.2">
      <c r="A958" s="46" t="s">
        <v>1229</v>
      </c>
    </row>
    <row r="959" spans="1:6" x14ac:dyDescent="0.2">
      <c r="A959" s="44" t="s">
        <v>1557</v>
      </c>
      <c r="D959" s="1" t="s">
        <v>1557</v>
      </c>
      <c r="E959" s="1" t="s">
        <v>956</v>
      </c>
      <c r="F959" s="1" t="s">
        <v>956</v>
      </c>
    </row>
    <row r="960" spans="1:6" x14ac:dyDescent="0.2">
      <c r="A960" s="46" t="s">
        <v>956</v>
      </c>
    </row>
    <row r="961" spans="1:6" x14ac:dyDescent="0.2">
      <c r="A961" s="46" t="s">
        <v>1231</v>
      </c>
    </row>
    <row r="962" spans="1:6" x14ac:dyDescent="0.2">
      <c r="A962" s="44" t="s">
        <v>1558</v>
      </c>
      <c r="D962" s="1" t="s">
        <v>1558</v>
      </c>
      <c r="E962" s="1" t="s">
        <v>1233</v>
      </c>
      <c r="F962" s="1" t="s">
        <v>1233</v>
      </c>
    </row>
    <row r="963" spans="1:6" x14ac:dyDescent="0.2">
      <c r="A963" s="46" t="s">
        <v>1233</v>
      </c>
    </row>
    <row r="964" spans="1:6" x14ac:dyDescent="0.2">
      <c r="A964" s="46" t="s">
        <v>1234</v>
      </c>
    </row>
    <row r="965" spans="1:6" x14ac:dyDescent="0.2">
      <c r="A965" s="44" t="s">
        <v>1559</v>
      </c>
      <c r="D965" s="1" t="s">
        <v>1559</v>
      </c>
      <c r="E965" s="1" t="s">
        <v>1026</v>
      </c>
      <c r="F965" s="1" t="s">
        <v>1026</v>
      </c>
    </row>
    <row r="966" spans="1:6" x14ac:dyDescent="0.2">
      <c r="A966" s="46" t="s">
        <v>1026</v>
      </c>
    </row>
    <row r="967" spans="1:6" x14ac:dyDescent="0.2">
      <c r="A967" s="46" t="s">
        <v>1236</v>
      </c>
    </row>
    <row r="968" spans="1:6" x14ac:dyDescent="0.2">
      <c r="A968" s="44" t="s">
        <v>1560</v>
      </c>
      <c r="D968" s="1" t="s">
        <v>1560</v>
      </c>
      <c r="E968" s="1" t="s">
        <v>998</v>
      </c>
      <c r="F968" s="1" t="s">
        <v>998</v>
      </c>
    </row>
    <row r="969" spans="1:6" x14ac:dyDescent="0.2">
      <c r="A969" s="46" t="s">
        <v>998</v>
      </c>
    </row>
    <row r="970" spans="1:6" x14ac:dyDescent="0.2">
      <c r="A970" s="46" t="s">
        <v>1238</v>
      </c>
    </row>
    <row r="971" spans="1:6" x14ac:dyDescent="0.2">
      <c r="A971" s="44" t="s">
        <v>1561</v>
      </c>
      <c r="D971" s="1" t="s">
        <v>1561</v>
      </c>
      <c r="E971" s="1" t="s">
        <v>959</v>
      </c>
      <c r="F971" s="1" t="s">
        <v>959</v>
      </c>
    </row>
    <row r="972" spans="1:6" x14ac:dyDescent="0.2">
      <c r="A972" s="46" t="s">
        <v>959</v>
      </c>
    </row>
    <row r="973" spans="1:6" x14ac:dyDescent="0.2">
      <c r="A973" s="46" t="s">
        <v>1240</v>
      </c>
    </row>
    <row r="974" spans="1:6" x14ac:dyDescent="0.2">
      <c r="A974" s="44" t="s">
        <v>1562</v>
      </c>
      <c r="D974" s="1" t="s">
        <v>1562</v>
      </c>
      <c r="E974" s="1" t="s">
        <v>1242</v>
      </c>
      <c r="F974" s="1" t="s">
        <v>1242</v>
      </c>
    </row>
    <row r="975" spans="1:6" x14ac:dyDescent="0.2">
      <c r="A975" s="46" t="s">
        <v>1242</v>
      </c>
    </row>
    <row r="976" spans="1:6" x14ac:dyDescent="0.2">
      <c r="A976" s="46" t="s">
        <v>1243</v>
      </c>
    </row>
    <row r="977" spans="1:6" x14ac:dyDescent="0.2">
      <c r="A977" s="44" t="s">
        <v>1563</v>
      </c>
      <c r="D977" s="1" t="s">
        <v>1563</v>
      </c>
      <c r="E977" s="1" t="s">
        <v>1245</v>
      </c>
      <c r="F977" s="1" t="s">
        <v>1245</v>
      </c>
    </row>
    <row r="978" spans="1:6" x14ac:dyDescent="0.2">
      <c r="A978" s="46" t="s">
        <v>1245</v>
      </c>
    </row>
    <row r="979" spans="1:6" x14ac:dyDescent="0.2">
      <c r="A979" s="46" t="s">
        <v>1246</v>
      </c>
    </row>
    <row r="980" spans="1:6" x14ac:dyDescent="0.2">
      <c r="A980" s="44" t="s">
        <v>1564</v>
      </c>
      <c r="D980" s="1" t="s">
        <v>1564</v>
      </c>
      <c r="E980" s="1" t="s">
        <v>1220</v>
      </c>
      <c r="F980" s="1" t="s">
        <v>1220</v>
      </c>
    </row>
    <row r="981" spans="1:6" x14ac:dyDescent="0.2">
      <c r="A981" s="46" t="s">
        <v>1220</v>
      </c>
    </row>
    <row r="982" spans="1:6" x14ac:dyDescent="0.2">
      <c r="A982" s="46" t="s">
        <v>1248</v>
      </c>
    </row>
    <row r="983" spans="1:6" x14ac:dyDescent="0.2">
      <c r="A983" s="44" t="s">
        <v>1565</v>
      </c>
      <c r="D983" s="1" t="s">
        <v>1565</v>
      </c>
      <c r="E983" s="1" t="s">
        <v>942</v>
      </c>
      <c r="F983" s="1" t="s">
        <v>942</v>
      </c>
    </row>
    <row r="984" spans="1:6" x14ac:dyDescent="0.2">
      <c r="A984" s="46" t="s">
        <v>942</v>
      </c>
    </row>
    <row r="985" spans="1:6" x14ac:dyDescent="0.2">
      <c r="A985" s="46" t="s">
        <v>1250</v>
      </c>
    </row>
    <row r="986" spans="1:6" x14ac:dyDescent="0.2">
      <c r="A986" s="44" t="s">
        <v>1566</v>
      </c>
      <c r="D986" s="1" t="s">
        <v>1566</v>
      </c>
      <c r="E986" s="1" t="s">
        <v>1252</v>
      </c>
      <c r="F986" s="1" t="s">
        <v>1252</v>
      </c>
    </row>
    <row r="987" spans="1:6" x14ac:dyDescent="0.2">
      <c r="A987" s="46" t="s">
        <v>1252</v>
      </c>
    </row>
    <row r="988" spans="1:6" x14ac:dyDescent="0.2">
      <c r="A988" s="46" t="s">
        <v>1253</v>
      </c>
    </row>
    <row r="989" spans="1:6" x14ac:dyDescent="0.2">
      <c r="A989" s="44" t="s">
        <v>1567</v>
      </c>
      <c r="D989" s="1" t="s">
        <v>1567</v>
      </c>
      <c r="E989" s="1" t="s">
        <v>1087</v>
      </c>
      <c r="F989" s="1" t="s">
        <v>1087</v>
      </c>
    </row>
    <row r="990" spans="1:6" x14ac:dyDescent="0.2">
      <c r="A990" s="46" t="s">
        <v>1087</v>
      </c>
    </row>
    <row r="991" spans="1:6" x14ac:dyDescent="0.2">
      <c r="A991" s="46" t="s">
        <v>1255</v>
      </c>
    </row>
    <row r="992" spans="1:6" x14ac:dyDescent="0.2">
      <c r="A992" s="44" t="s">
        <v>1568</v>
      </c>
      <c r="D992" s="1" t="s">
        <v>1568</v>
      </c>
      <c r="E992" s="1" t="s">
        <v>1257</v>
      </c>
      <c r="F992" s="1" t="s">
        <v>1257</v>
      </c>
    </row>
    <row r="993" spans="1:6" x14ac:dyDescent="0.2">
      <c r="A993" s="46" t="s">
        <v>1257</v>
      </c>
    </row>
    <row r="994" spans="1:6" x14ac:dyDescent="0.2">
      <c r="A994" s="46" t="s">
        <v>1258</v>
      </c>
    </row>
    <row r="995" spans="1:6" x14ac:dyDescent="0.2">
      <c r="A995" s="44" t="s">
        <v>1569</v>
      </c>
      <c r="D995" s="1" t="s">
        <v>1569</v>
      </c>
      <c r="E995" s="1" t="s">
        <v>1260</v>
      </c>
      <c r="F995" s="1" t="s">
        <v>1260</v>
      </c>
    </row>
    <row r="996" spans="1:6" x14ac:dyDescent="0.2">
      <c r="A996" s="46" t="s">
        <v>1260</v>
      </c>
    </row>
    <row r="997" spans="1:6" x14ac:dyDescent="0.2">
      <c r="A997" s="46" t="s">
        <v>1261</v>
      </c>
    </row>
    <row r="998" spans="1:6" x14ac:dyDescent="0.2">
      <c r="A998" s="44" t="s">
        <v>1570</v>
      </c>
      <c r="D998" s="1" t="s">
        <v>1570</v>
      </c>
      <c r="E998" s="1" t="s">
        <v>927</v>
      </c>
      <c r="F998" s="1" t="s">
        <v>927</v>
      </c>
    </row>
    <row r="999" spans="1:6" x14ac:dyDescent="0.2">
      <c r="A999" s="46" t="s">
        <v>927</v>
      </c>
    </row>
    <row r="1000" spans="1:6" x14ac:dyDescent="0.2">
      <c r="A1000" s="46" t="s">
        <v>1263</v>
      </c>
    </row>
    <row r="1001" spans="1:6" x14ac:dyDescent="0.2">
      <c r="A1001" s="44" t="s">
        <v>1571</v>
      </c>
      <c r="D1001" s="1" t="s">
        <v>1571</v>
      </c>
      <c r="E1001" s="1" t="s">
        <v>1118</v>
      </c>
      <c r="F1001" s="1" t="s">
        <v>1118</v>
      </c>
    </row>
    <row r="1002" spans="1:6" x14ac:dyDescent="0.2">
      <c r="A1002" s="46" t="s">
        <v>1118</v>
      </c>
    </row>
    <row r="1003" spans="1:6" x14ac:dyDescent="0.2">
      <c r="A1003" s="46" t="s">
        <v>1265</v>
      </c>
    </row>
    <row r="1004" spans="1:6" x14ac:dyDescent="0.2">
      <c r="A1004" s="44" t="s">
        <v>1572</v>
      </c>
      <c r="D1004" s="1" t="s">
        <v>1572</v>
      </c>
      <c r="E1004" s="1" t="s">
        <v>1118</v>
      </c>
      <c r="F1004" s="1" t="s">
        <v>1118</v>
      </c>
    </row>
    <row r="1005" spans="1:6" x14ac:dyDescent="0.2">
      <c r="A1005" s="46" t="s">
        <v>1118</v>
      </c>
    </row>
    <row r="1006" spans="1:6" x14ac:dyDescent="0.2">
      <c r="A1006" s="46" t="s">
        <v>1267</v>
      </c>
    </row>
    <row r="1007" spans="1:6" x14ac:dyDescent="0.2">
      <c r="A1007" s="44" t="s">
        <v>1573</v>
      </c>
      <c r="D1007" s="1" t="s">
        <v>1573</v>
      </c>
      <c r="E1007" s="1" t="s">
        <v>1189</v>
      </c>
      <c r="F1007" s="1" t="s">
        <v>1189</v>
      </c>
    </row>
    <row r="1008" spans="1:6" x14ac:dyDescent="0.2">
      <c r="A1008" s="46" t="s">
        <v>1189</v>
      </c>
    </row>
    <row r="1009" spans="1:6" x14ac:dyDescent="0.2">
      <c r="A1009" s="46" t="s">
        <v>1269</v>
      </c>
    </row>
    <row r="1010" spans="1:6" x14ac:dyDescent="0.2">
      <c r="A1010" s="44" t="s">
        <v>1574</v>
      </c>
      <c r="D1010" s="1" t="s">
        <v>1574</v>
      </c>
      <c r="E1010" s="1" t="s">
        <v>1271</v>
      </c>
      <c r="F1010" s="1" t="s">
        <v>1271</v>
      </c>
    </row>
    <row r="1011" spans="1:6" x14ac:dyDescent="0.2">
      <c r="A1011" s="46" t="s">
        <v>1271</v>
      </c>
    </row>
    <row r="1012" spans="1:6" x14ac:dyDescent="0.2">
      <c r="A1012" s="46" t="s">
        <v>1007</v>
      </c>
    </row>
    <row r="1013" spans="1:6" x14ac:dyDescent="0.2">
      <c r="A1013" s="44" t="s">
        <v>1575</v>
      </c>
      <c r="D1013" s="1" t="s">
        <v>1575</v>
      </c>
      <c r="E1013" s="1" t="s">
        <v>1273</v>
      </c>
      <c r="F1013" s="1" t="s">
        <v>1273</v>
      </c>
    </row>
    <row r="1014" spans="1:6" x14ac:dyDescent="0.2">
      <c r="A1014" s="46" t="s">
        <v>1273</v>
      </c>
    </row>
    <row r="1015" spans="1:6" x14ac:dyDescent="0.2">
      <c r="A1015" s="46" t="s">
        <v>1274</v>
      </c>
    </row>
    <row r="1016" spans="1:6" x14ac:dyDescent="0.2">
      <c r="A1016" s="44" t="s">
        <v>1576</v>
      </c>
      <c r="D1016" s="1" t="s">
        <v>1576</v>
      </c>
      <c r="E1016" s="1" t="s">
        <v>962</v>
      </c>
      <c r="F1016" s="1" t="s">
        <v>962</v>
      </c>
    </row>
    <row r="1017" spans="1:6" x14ac:dyDescent="0.2">
      <c r="A1017" s="46" t="s">
        <v>962</v>
      </c>
    </row>
    <row r="1018" spans="1:6" x14ac:dyDescent="0.2">
      <c r="A1018" s="46" t="s">
        <v>1276</v>
      </c>
    </row>
    <row r="1019" spans="1:6" x14ac:dyDescent="0.2">
      <c r="A1019" s="44" t="s">
        <v>1577</v>
      </c>
      <c r="D1019" s="1" t="s">
        <v>1577</v>
      </c>
      <c r="E1019" s="1" t="s">
        <v>927</v>
      </c>
      <c r="F1019" s="1" t="s">
        <v>927</v>
      </c>
    </row>
    <row r="1020" spans="1:6" x14ac:dyDescent="0.2">
      <c r="A1020" s="46" t="s">
        <v>927</v>
      </c>
    </row>
    <row r="1021" spans="1:6" x14ac:dyDescent="0.2">
      <c r="A1021" s="46" t="s">
        <v>1278</v>
      </c>
    </row>
    <row r="1022" spans="1:6" x14ac:dyDescent="0.2">
      <c r="A1022" s="44" t="s">
        <v>1578</v>
      </c>
      <c r="D1022" s="1" t="s">
        <v>1578</v>
      </c>
      <c r="E1022" s="1" t="s">
        <v>927</v>
      </c>
      <c r="F1022" s="1" t="s">
        <v>927</v>
      </c>
    </row>
    <row r="1023" spans="1:6" x14ac:dyDescent="0.2">
      <c r="A1023" s="46" t="s">
        <v>927</v>
      </c>
    </row>
    <row r="1024" spans="1:6" x14ac:dyDescent="0.2">
      <c r="A1024" s="46" t="s">
        <v>1280</v>
      </c>
    </row>
    <row r="1025" spans="1:6" x14ac:dyDescent="0.2">
      <c r="A1025" s="44" t="s">
        <v>1579</v>
      </c>
      <c r="D1025" s="1" t="s">
        <v>1579</v>
      </c>
      <c r="E1025" s="1" t="s">
        <v>951</v>
      </c>
      <c r="F1025" s="1" t="s">
        <v>951</v>
      </c>
    </row>
    <row r="1026" spans="1:6" x14ac:dyDescent="0.2">
      <c r="A1026" s="46" t="s">
        <v>951</v>
      </c>
    </row>
    <row r="1027" spans="1:6" x14ac:dyDescent="0.2">
      <c r="A1027" s="46" t="s">
        <v>1282</v>
      </c>
    </row>
    <row r="1028" spans="1:6" x14ac:dyDescent="0.2">
      <c r="A1028" s="44" t="s">
        <v>1580</v>
      </c>
      <c r="D1028" s="1" t="s">
        <v>1580</v>
      </c>
      <c r="E1028" s="1" t="s">
        <v>1284</v>
      </c>
      <c r="F1028" s="1" t="s">
        <v>1284</v>
      </c>
    </row>
    <row r="1029" spans="1:6" x14ac:dyDescent="0.2">
      <c r="A1029" s="46" t="s">
        <v>1284</v>
      </c>
    </row>
    <row r="1030" spans="1:6" x14ac:dyDescent="0.2">
      <c r="A1030" s="46" t="s">
        <v>1285</v>
      </c>
    </row>
    <row r="1031" spans="1:6" x14ac:dyDescent="0.2">
      <c r="A1031" s="44" t="s">
        <v>1581</v>
      </c>
      <c r="D1031" s="1" t="s">
        <v>1581</v>
      </c>
      <c r="E1031" s="1" t="s">
        <v>1039</v>
      </c>
      <c r="F1031" s="1" t="s">
        <v>1039</v>
      </c>
    </row>
    <row r="1032" spans="1:6" x14ac:dyDescent="0.2">
      <c r="A1032" s="46" t="s">
        <v>1039</v>
      </c>
    </row>
    <row r="1033" spans="1:6" x14ac:dyDescent="0.2">
      <c r="A1033" s="46" t="s">
        <v>1287</v>
      </c>
    </row>
    <row r="1034" spans="1:6" x14ac:dyDescent="0.2">
      <c r="A1034" s="44" t="s">
        <v>1582</v>
      </c>
      <c r="D1034" s="1" t="s">
        <v>1582</v>
      </c>
      <c r="E1034" s="1" t="s">
        <v>1289</v>
      </c>
      <c r="F1034" s="1" t="s">
        <v>1289</v>
      </c>
    </row>
    <row r="1035" spans="1:6" x14ac:dyDescent="0.2">
      <c r="A1035" s="46" t="s">
        <v>1289</v>
      </c>
    </row>
    <row r="1036" spans="1:6" x14ac:dyDescent="0.2">
      <c r="A1036" s="46" t="s">
        <v>1290</v>
      </c>
    </row>
    <row r="1037" spans="1:6" x14ac:dyDescent="0.2">
      <c r="A1037" s="44" t="s">
        <v>1583</v>
      </c>
      <c r="D1037" s="1" t="s">
        <v>1583</v>
      </c>
      <c r="E1037" s="1" t="s">
        <v>1292</v>
      </c>
      <c r="F1037" s="1" t="s">
        <v>1292</v>
      </c>
    </row>
    <row r="1038" spans="1:6" x14ac:dyDescent="0.2">
      <c r="A1038" s="46" t="s">
        <v>1292</v>
      </c>
    </row>
    <row r="1039" spans="1:6" x14ac:dyDescent="0.2">
      <c r="A1039" s="46" t="s">
        <v>1293</v>
      </c>
    </row>
    <row r="1040" spans="1:6" x14ac:dyDescent="0.2">
      <c r="A1040" s="44" t="s">
        <v>1584</v>
      </c>
      <c r="D1040" s="1" t="s">
        <v>1584</v>
      </c>
      <c r="E1040" s="1" t="s">
        <v>1295</v>
      </c>
      <c r="F1040" s="1" t="s">
        <v>1295</v>
      </c>
    </row>
    <row r="1041" spans="1:6" x14ac:dyDescent="0.2">
      <c r="A1041" s="46" t="s">
        <v>1295</v>
      </c>
    </row>
    <row r="1042" spans="1:6" x14ac:dyDescent="0.2">
      <c r="A1042" s="46" t="s">
        <v>1296</v>
      </c>
    </row>
    <row r="1043" spans="1:6" x14ac:dyDescent="0.2">
      <c r="A1043" s="44" t="s">
        <v>1585</v>
      </c>
      <c r="D1043" s="1" t="s">
        <v>1585</v>
      </c>
      <c r="E1043" s="1" t="s">
        <v>956</v>
      </c>
      <c r="F1043" s="1" t="s">
        <v>956</v>
      </c>
    </row>
    <row r="1044" spans="1:6" x14ac:dyDescent="0.2">
      <c r="A1044" s="46" t="s">
        <v>956</v>
      </c>
    </row>
    <row r="1045" spans="1:6" x14ac:dyDescent="0.2">
      <c r="A1045" s="46" t="s">
        <v>1298</v>
      </c>
    </row>
    <row r="1046" spans="1:6" x14ac:dyDescent="0.2">
      <c r="A1046" s="44" t="s">
        <v>1586</v>
      </c>
      <c r="D1046" s="1" t="s">
        <v>1586</v>
      </c>
      <c r="E1046" s="1" t="s">
        <v>1078</v>
      </c>
      <c r="F1046" s="1" t="s">
        <v>1078</v>
      </c>
    </row>
    <row r="1047" spans="1:6" x14ac:dyDescent="0.2">
      <c r="A1047" s="46" t="s">
        <v>1078</v>
      </c>
    </row>
    <row r="1048" spans="1:6" x14ac:dyDescent="0.2">
      <c r="A1048" s="46" t="s">
        <v>1300</v>
      </c>
    </row>
    <row r="1049" spans="1:6" x14ac:dyDescent="0.2">
      <c r="A1049" s="44" t="s">
        <v>1587</v>
      </c>
      <c r="D1049" s="1" t="s">
        <v>1587</v>
      </c>
      <c r="E1049" s="1" t="s">
        <v>1302</v>
      </c>
      <c r="F1049" s="1" t="s">
        <v>1302</v>
      </c>
    </row>
    <row r="1050" spans="1:6" x14ac:dyDescent="0.2">
      <c r="A1050" s="46" t="s">
        <v>1302</v>
      </c>
    </row>
    <row r="1051" spans="1:6" x14ac:dyDescent="0.2">
      <c r="A1051" s="46" t="s">
        <v>1303</v>
      </c>
    </row>
    <row r="1052" spans="1:6" x14ac:dyDescent="0.2">
      <c r="A1052" s="44" t="s">
        <v>1588</v>
      </c>
      <c r="D1052" s="1" t="s">
        <v>1588</v>
      </c>
      <c r="E1052" s="1" t="s">
        <v>939</v>
      </c>
      <c r="F1052" s="1" t="s">
        <v>939</v>
      </c>
    </row>
    <row r="1053" spans="1:6" x14ac:dyDescent="0.2">
      <c r="A1053" s="46" t="s">
        <v>939</v>
      </c>
    </row>
    <row r="1054" spans="1:6" x14ac:dyDescent="0.2">
      <c r="A1054" s="46" t="s">
        <v>1305</v>
      </c>
    </row>
    <row r="1055" spans="1:6" x14ac:dyDescent="0.2">
      <c r="A1055" s="44" t="s">
        <v>1589</v>
      </c>
      <c r="D1055" s="1" t="s">
        <v>1589</v>
      </c>
      <c r="E1055" s="1" t="s">
        <v>1307</v>
      </c>
      <c r="F1055" s="1" t="s">
        <v>1307</v>
      </c>
    </row>
    <row r="1056" spans="1:6" x14ac:dyDescent="0.2">
      <c r="A1056" s="46" t="s">
        <v>1307</v>
      </c>
    </row>
    <row r="1057" spans="1:6" x14ac:dyDescent="0.2">
      <c r="A1057" s="46" t="s">
        <v>1034</v>
      </c>
    </row>
    <row r="1058" spans="1:6" x14ac:dyDescent="0.2">
      <c r="A1058" s="44" t="s">
        <v>1590</v>
      </c>
      <c r="D1058" s="1" t="s">
        <v>1590</v>
      </c>
      <c r="E1058" s="1" t="s">
        <v>1309</v>
      </c>
      <c r="F1058" s="1" t="s">
        <v>1309</v>
      </c>
    </row>
    <row r="1059" spans="1:6" x14ac:dyDescent="0.2">
      <c r="A1059" s="46" t="s">
        <v>1309</v>
      </c>
    </row>
    <row r="1060" spans="1:6" x14ac:dyDescent="0.2">
      <c r="A1060" s="46" t="s">
        <v>1310</v>
      </c>
    </row>
    <row r="1061" spans="1:6" x14ac:dyDescent="0.2">
      <c r="A1061" s="44" t="s">
        <v>1591</v>
      </c>
      <c r="D1061" s="1" t="s">
        <v>1591</v>
      </c>
      <c r="E1061" s="1" t="s">
        <v>1312</v>
      </c>
      <c r="F1061" s="1" t="s">
        <v>1312</v>
      </c>
    </row>
    <row r="1062" spans="1:6" x14ac:dyDescent="0.2">
      <c r="A1062" s="46" t="s">
        <v>1312</v>
      </c>
    </row>
    <row r="1063" spans="1:6" x14ac:dyDescent="0.2">
      <c r="A1063" s="46" t="s">
        <v>1313</v>
      </c>
    </row>
    <row r="1064" spans="1:6" x14ac:dyDescent="0.2">
      <c r="A1064" s="44" t="s">
        <v>1592</v>
      </c>
      <c r="D1064" s="1" t="s">
        <v>1592</v>
      </c>
      <c r="E1064" s="1" t="s">
        <v>956</v>
      </c>
      <c r="F1064" s="1" t="s">
        <v>956</v>
      </c>
    </row>
    <row r="1065" spans="1:6" x14ac:dyDescent="0.2">
      <c r="A1065" s="46" t="s">
        <v>956</v>
      </c>
    </row>
    <row r="1066" spans="1:6" x14ac:dyDescent="0.2">
      <c r="A1066" s="46" t="s">
        <v>1315</v>
      </c>
    </row>
    <row r="1067" spans="1:6" x14ac:dyDescent="0.2">
      <c r="A1067" s="44" t="s">
        <v>1593</v>
      </c>
      <c r="D1067" s="1" t="s">
        <v>1593</v>
      </c>
      <c r="E1067" s="1" t="s">
        <v>927</v>
      </c>
      <c r="F1067" s="1" t="s">
        <v>927</v>
      </c>
    </row>
    <row r="1068" spans="1:6" x14ac:dyDescent="0.2">
      <c r="A1068" s="46" t="s">
        <v>927</v>
      </c>
    </row>
    <row r="1069" spans="1:6" x14ac:dyDescent="0.2">
      <c r="A1069" s="46" t="s">
        <v>1317</v>
      </c>
    </row>
    <row r="1070" spans="1:6" x14ac:dyDescent="0.2">
      <c r="A1070" s="44" t="s">
        <v>1594</v>
      </c>
      <c r="D1070" s="1" t="s">
        <v>1594</v>
      </c>
      <c r="E1070" s="1" t="s">
        <v>1319</v>
      </c>
      <c r="F1070" s="1" t="s">
        <v>1319</v>
      </c>
    </row>
    <row r="1071" spans="1:6" x14ac:dyDescent="0.2">
      <c r="A1071" s="46" t="s">
        <v>1319</v>
      </c>
    </row>
    <row r="1072" spans="1:6" x14ac:dyDescent="0.2">
      <c r="A1072" s="46" t="s">
        <v>1320</v>
      </c>
    </row>
    <row r="1073" spans="1:6" x14ac:dyDescent="0.2">
      <c r="A1073" s="44" t="s">
        <v>1595</v>
      </c>
      <c r="D1073" s="1" t="s">
        <v>1595</v>
      </c>
      <c r="E1073" s="1" t="s">
        <v>1322</v>
      </c>
      <c r="F1073" s="1" t="s">
        <v>1322</v>
      </c>
    </row>
    <row r="1074" spans="1:6" x14ac:dyDescent="0.2">
      <c r="A1074" s="46" t="s">
        <v>1322</v>
      </c>
    </row>
    <row r="1075" spans="1:6" x14ac:dyDescent="0.2">
      <c r="A1075" s="46" t="s">
        <v>1323</v>
      </c>
    </row>
    <row r="1076" spans="1:6" x14ac:dyDescent="0.2">
      <c r="A1076" s="44" t="s">
        <v>1596</v>
      </c>
      <c r="D1076" s="1" t="s">
        <v>1596</v>
      </c>
      <c r="E1076" s="1" t="s">
        <v>927</v>
      </c>
      <c r="F1076" s="1" t="s">
        <v>927</v>
      </c>
    </row>
    <row r="1077" spans="1:6" x14ac:dyDescent="0.2">
      <c r="A1077" s="46" t="s">
        <v>927</v>
      </c>
    </row>
    <row r="1078" spans="1:6" x14ac:dyDescent="0.2">
      <c r="A1078" s="46" t="s">
        <v>1325</v>
      </c>
    </row>
    <row r="1079" spans="1:6" x14ac:dyDescent="0.2">
      <c r="A1079" s="44" t="s">
        <v>1597</v>
      </c>
      <c r="D1079" s="1" t="s">
        <v>1597</v>
      </c>
      <c r="E1079" s="1" t="s">
        <v>956</v>
      </c>
      <c r="F1079" s="1" t="s">
        <v>956</v>
      </c>
    </row>
    <row r="1080" spans="1:6" x14ac:dyDescent="0.2">
      <c r="A1080" s="46" t="s">
        <v>956</v>
      </c>
    </row>
    <row r="1081" spans="1:6" x14ac:dyDescent="0.2">
      <c r="A1081" s="46" t="s">
        <v>1327</v>
      </c>
    </row>
    <row r="1082" spans="1:6" x14ac:dyDescent="0.2">
      <c r="A1082" s="44" t="s">
        <v>1598</v>
      </c>
      <c r="D1082" s="1" t="s">
        <v>1598</v>
      </c>
      <c r="E1082" s="1" t="s">
        <v>1329</v>
      </c>
      <c r="F1082" s="1" t="s">
        <v>1329</v>
      </c>
    </row>
    <row r="1083" spans="1:6" x14ac:dyDescent="0.2">
      <c r="A1083" s="46" t="s">
        <v>1329</v>
      </c>
    </row>
    <row r="1084" spans="1:6" x14ac:dyDescent="0.2">
      <c r="A1084" s="46" t="s">
        <v>1330</v>
      </c>
    </row>
    <row r="1085" spans="1:6" x14ac:dyDescent="0.2">
      <c r="A1085" s="44" t="s">
        <v>1599</v>
      </c>
      <c r="D1085" s="1" t="s">
        <v>1599</v>
      </c>
      <c r="E1085" s="1" t="s">
        <v>1289</v>
      </c>
      <c r="F1085" s="1" t="s">
        <v>1289</v>
      </c>
    </row>
    <row r="1086" spans="1:6" x14ac:dyDescent="0.2">
      <c r="A1086" s="46" t="s">
        <v>1289</v>
      </c>
    </row>
    <row r="1087" spans="1:6" x14ac:dyDescent="0.2">
      <c r="A1087" s="46" t="s">
        <v>1332</v>
      </c>
    </row>
    <row r="1088" spans="1:6" x14ac:dyDescent="0.2">
      <c r="A1088" s="44" t="s">
        <v>1600</v>
      </c>
      <c r="D1088" s="1" t="s">
        <v>1600</v>
      </c>
      <c r="E1088" s="1" t="s">
        <v>956</v>
      </c>
      <c r="F1088" s="1" t="s">
        <v>956</v>
      </c>
    </row>
    <row r="1089" spans="1:6" x14ac:dyDescent="0.2">
      <c r="A1089" s="46" t="s">
        <v>956</v>
      </c>
    </row>
    <row r="1090" spans="1:6" x14ac:dyDescent="0.2">
      <c r="A1090" s="46" t="s">
        <v>1334</v>
      </c>
    </row>
    <row r="1091" spans="1:6" x14ac:dyDescent="0.2">
      <c r="A1091" s="44" t="s">
        <v>1601</v>
      </c>
      <c r="D1091" s="1" t="s">
        <v>1601</v>
      </c>
      <c r="E1091" s="1" t="s">
        <v>1336</v>
      </c>
      <c r="F1091" s="1" t="s">
        <v>1336</v>
      </c>
    </row>
    <row r="1092" spans="1:6" x14ac:dyDescent="0.2">
      <c r="A1092" s="46" t="s">
        <v>1336</v>
      </c>
    </row>
    <row r="1093" spans="1:6" x14ac:dyDescent="0.2">
      <c r="A1093" s="46" t="s">
        <v>1337</v>
      </c>
    </row>
    <row r="1094" spans="1:6" x14ac:dyDescent="0.2">
      <c r="A1094" s="44" t="s">
        <v>1602</v>
      </c>
      <c r="D1094" s="1" t="s">
        <v>1602</v>
      </c>
      <c r="E1094" s="1" t="s">
        <v>1273</v>
      </c>
      <c r="F1094" s="1" t="s">
        <v>1273</v>
      </c>
    </row>
    <row r="1095" spans="1:6" x14ac:dyDescent="0.2">
      <c r="A1095" s="46" t="s">
        <v>1273</v>
      </c>
    </row>
    <row r="1096" spans="1:6" x14ac:dyDescent="0.2">
      <c r="A1096" s="46" t="s">
        <v>1339</v>
      </c>
    </row>
    <row r="1097" spans="1:6" x14ac:dyDescent="0.2">
      <c r="A1097" s="44" t="s">
        <v>1603</v>
      </c>
      <c r="D1097" s="1" t="s">
        <v>1603</v>
      </c>
      <c r="E1097" s="1" t="s">
        <v>1233</v>
      </c>
      <c r="F1097" s="1" t="s">
        <v>1233</v>
      </c>
    </row>
    <row r="1098" spans="1:6" x14ac:dyDescent="0.2">
      <c r="A1098" s="46" t="s">
        <v>1233</v>
      </c>
    </row>
    <row r="1099" spans="1:6" x14ac:dyDescent="0.2">
      <c r="A1099" s="46" t="s">
        <v>1341</v>
      </c>
    </row>
    <row r="1100" spans="1:6" x14ac:dyDescent="0.2">
      <c r="A1100" s="44" t="s">
        <v>1604</v>
      </c>
      <c r="D1100" s="1" t="s">
        <v>1604</v>
      </c>
      <c r="E1100" s="1" t="s">
        <v>1233</v>
      </c>
      <c r="F1100" s="1" t="s">
        <v>1233</v>
      </c>
    </row>
    <row r="1101" spans="1:6" x14ac:dyDescent="0.2">
      <c r="A1101" s="46" t="s">
        <v>1233</v>
      </c>
    </row>
    <row r="1102" spans="1:6" x14ac:dyDescent="0.2">
      <c r="A1102" s="46" t="s">
        <v>1343</v>
      </c>
    </row>
    <row r="1103" spans="1:6" x14ac:dyDescent="0.2">
      <c r="A1103" s="44" t="s">
        <v>1605</v>
      </c>
      <c r="D1103" s="1" t="s">
        <v>1605</v>
      </c>
      <c r="E1103" s="1" t="s">
        <v>956</v>
      </c>
      <c r="F1103" s="1" t="s">
        <v>956</v>
      </c>
    </row>
    <row r="1104" spans="1:6" x14ac:dyDescent="0.2">
      <c r="A1104" s="46" t="s">
        <v>956</v>
      </c>
    </row>
    <row r="1105" spans="1:6" x14ac:dyDescent="0.2">
      <c r="A1105" s="46" t="s">
        <v>1345</v>
      </c>
    </row>
    <row r="1106" spans="1:6" x14ac:dyDescent="0.2">
      <c r="A1106" s="44" t="s">
        <v>1606</v>
      </c>
      <c r="D1106" s="1" t="s">
        <v>1606</v>
      </c>
      <c r="E1106" s="1" t="s">
        <v>1347</v>
      </c>
      <c r="F1106" s="1" t="s">
        <v>1347</v>
      </c>
    </row>
    <row r="1107" spans="1:6" x14ac:dyDescent="0.2">
      <c r="A1107" s="46" t="s">
        <v>1347</v>
      </c>
    </row>
    <row r="1108" spans="1:6" x14ac:dyDescent="0.2">
      <c r="A1108" s="46" t="s">
        <v>1258</v>
      </c>
    </row>
    <row r="1109" spans="1:6" x14ac:dyDescent="0.2">
      <c r="A1109" s="44" t="s">
        <v>1607</v>
      </c>
      <c r="D1109" s="1" t="s">
        <v>1607</v>
      </c>
      <c r="E1109" s="1" t="s">
        <v>1349</v>
      </c>
      <c r="F1109" s="1" t="s">
        <v>1349</v>
      </c>
    </row>
    <row r="1110" spans="1:6" x14ac:dyDescent="0.2">
      <c r="A1110" s="46" t="s">
        <v>1349</v>
      </c>
    </row>
    <row r="1111" spans="1:6" x14ac:dyDescent="0.2">
      <c r="A1111" s="46" t="s">
        <v>1350</v>
      </c>
    </row>
    <row r="1112" spans="1:6" x14ac:dyDescent="0.2">
      <c r="A1112" s="44" t="s">
        <v>1608</v>
      </c>
      <c r="D1112" s="1" t="s">
        <v>1608</v>
      </c>
      <c r="E1112" s="1" t="s">
        <v>1352</v>
      </c>
      <c r="F1112" s="1" t="s">
        <v>1352</v>
      </c>
    </row>
    <row r="1113" spans="1:6" x14ac:dyDescent="0.2">
      <c r="A1113" s="46" t="s">
        <v>1352</v>
      </c>
    </row>
    <row r="1114" spans="1:6" x14ac:dyDescent="0.2">
      <c r="A1114" s="46" t="s">
        <v>1353</v>
      </c>
    </row>
    <row r="1115" spans="1:6" x14ac:dyDescent="0.2">
      <c r="A1115" s="44" t="s">
        <v>1609</v>
      </c>
      <c r="D1115" s="1" t="s">
        <v>1609</v>
      </c>
      <c r="E1115" s="1" t="s">
        <v>1355</v>
      </c>
      <c r="F1115" s="1" t="s">
        <v>1355</v>
      </c>
    </row>
    <row r="1116" spans="1:6" x14ac:dyDescent="0.2">
      <c r="A1116" s="46" t="s">
        <v>1355</v>
      </c>
    </row>
    <row r="1117" spans="1:6" x14ac:dyDescent="0.2">
      <c r="A1117" s="46" t="s">
        <v>1356</v>
      </c>
    </row>
    <row r="1118" spans="1:6" x14ac:dyDescent="0.2">
      <c r="A1118" s="44" t="s">
        <v>1610</v>
      </c>
      <c r="D1118" s="1" t="s">
        <v>1610</v>
      </c>
      <c r="E1118" s="1" t="s">
        <v>1026</v>
      </c>
      <c r="F1118" s="1" t="s">
        <v>1026</v>
      </c>
    </row>
    <row r="1119" spans="1:6" x14ac:dyDescent="0.2">
      <c r="A1119" s="46" t="s">
        <v>1026</v>
      </c>
    </row>
    <row r="1120" spans="1:6" x14ac:dyDescent="0.2">
      <c r="A1120" s="46" t="s">
        <v>1358</v>
      </c>
    </row>
    <row r="1121" spans="1:6" x14ac:dyDescent="0.2">
      <c r="A1121" s="44" t="s">
        <v>1611</v>
      </c>
      <c r="D1121" s="1" t="s">
        <v>1611</v>
      </c>
      <c r="E1121" s="1" t="s">
        <v>991</v>
      </c>
      <c r="F1121" s="1" t="s">
        <v>991</v>
      </c>
    </row>
    <row r="1122" spans="1:6" x14ac:dyDescent="0.2">
      <c r="A1122" s="46" t="s">
        <v>991</v>
      </c>
    </row>
    <row r="1123" spans="1:6" x14ac:dyDescent="0.2">
      <c r="A1123" s="46" t="s">
        <v>992</v>
      </c>
    </row>
    <row r="1124" spans="1:6" x14ac:dyDescent="0.2">
      <c r="A1124" s="44" t="s">
        <v>1612</v>
      </c>
      <c r="D1124" s="1" t="s">
        <v>1612</v>
      </c>
      <c r="E1124" s="1" t="s">
        <v>956</v>
      </c>
      <c r="F1124" s="1" t="s">
        <v>956</v>
      </c>
    </row>
    <row r="1125" spans="1:6" x14ac:dyDescent="0.2">
      <c r="A1125" s="46" t="s">
        <v>956</v>
      </c>
    </row>
    <row r="1126" spans="1:6" x14ac:dyDescent="0.2">
      <c r="A1126" s="46" t="s">
        <v>1361</v>
      </c>
    </row>
    <row r="1127" spans="1:6" x14ac:dyDescent="0.2">
      <c r="A1127" s="44" t="s">
        <v>1613</v>
      </c>
      <c r="D1127" s="1" t="s">
        <v>1613</v>
      </c>
      <c r="E1127" s="1" t="s">
        <v>1319</v>
      </c>
      <c r="F1127" s="1" t="s">
        <v>1319</v>
      </c>
    </row>
    <row r="1128" spans="1:6" x14ac:dyDescent="0.2">
      <c r="A1128" s="46" t="s">
        <v>1319</v>
      </c>
    </row>
    <row r="1129" spans="1:6" x14ac:dyDescent="0.2">
      <c r="A1129" s="46" t="s">
        <v>1363</v>
      </c>
    </row>
    <row r="1130" spans="1:6" x14ac:dyDescent="0.2">
      <c r="A1130" s="44" t="s">
        <v>1614</v>
      </c>
      <c r="D1130" s="1" t="s">
        <v>1614</v>
      </c>
      <c r="E1130" s="1" t="s">
        <v>1365</v>
      </c>
      <c r="F1130" s="1" t="s">
        <v>1365</v>
      </c>
    </row>
    <row r="1131" spans="1:6" x14ac:dyDescent="0.2">
      <c r="A1131" s="46" t="s">
        <v>1365</v>
      </c>
    </row>
    <row r="1132" spans="1:6" x14ac:dyDescent="0.2">
      <c r="A1132" s="46" t="s">
        <v>1366</v>
      </c>
    </row>
    <row r="1133" spans="1:6" x14ac:dyDescent="0.2">
      <c r="A1133" s="44" t="s">
        <v>1615</v>
      </c>
      <c r="D1133" s="1" t="s">
        <v>1615</v>
      </c>
      <c r="E1133" s="1" t="s">
        <v>1368</v>
      </c>
      <c r="F1133" s="1" t="s">
        <v>1368</v>
      </c>
    </row>
    <row r="1134" spans="1:6" x14ac:dyDescent="0.2">
      <c r="A1134" s="46" t="s">
        <v>1368</v>
      </c>
    </row>
    <row r="1135" spans="1:6" x14ac:dyDescent="0.2">
      <c r="A1135" s="46" t="s">
        <v>1369</v>
      </c>
    </row>
    <row r="1136" spans="1:6" x14ac:dyDescent="0.2">
      <c r="A1136" s="44" t="s">
        <v>1616</v>
      </c>
      <c r="D1136" s="1" t="s">
        <v>1616</v>
      </c>
      <c r="E1136" s="1" t="s">
        <v>1026</v>
      </c>
      <c r="F1136" s="1" t="s">
        <v>1026</v>
      </c>
    </row>
    <row r="1137" spans="1:6" x14ac:dyDescent="0.2">
      <c r="A1137" s="46" t="s">
        <v>1026</v>
      </c>
    </row>
    <row r="1138" spans="1:6" x14ac:dyDescent="0.2">
      <c r="A1138" s="46" t="s">
        <v>1371</v>
      </c>
    </row>
    <row r="1139" spans="1:6" x14ac:dyDescent="0.2">
      <c r="A1139" s="44" t="s">
        <v>1617</v>
      </c>
      <c r="D1139" s="1" t="s">
        <v>1617</v>
      </c>
      <c r="E1139" s="1" t="s">
        <v>1197</v>
      </c>
      <c r="F1139" s="1" t="s">
        <v>1197</v>
      </c>
    </row>
    <row r="1140" spans="1:6" x14ac:dyDescent="0.2">
      <c r="A1140" s="46" t="s">
        <v>1197</v>
      </c>
    </row>
    <row r="1141" spans="1:6" x14ac:dyDescent="0.2">
      <c r="A1141" s="46" t="s">
        <v>1373</v>
      </c>
    </row>
    <row r="1142" spans="1:6" x14ac:dyDescent="0.2">
      <c r="A1142" s="44" t="s">
        <v>1618</v>
      </c>
      <c r="D1142" s="1" t="s">
        <v>1618</v>
      </c>
      <c r="E1142" s="1" t="s">
        <v>1375</v>
      </c>
      <c r="F1142" s="1" t="s">
        <v>1375</v>
      </c>
    </row>
    <row r="1143" spans="1:6" x14ac:dyDescent="0.2">
      <c r="A1143" s="46" t="s">
        <v>1375</v>
      </c>
    </row>
    <row r="1144" spans="1:6" x14ac:dyDescent="0.2">
      <c r="A1144" s="46" t="s">
        <v>1376</v>
      </c>
    </row>
    <row r="1145" spans="1:6" x14ac:dyDescent="0.2">
      <c r="A1145" s="44" t="s">
        <v>1619</v>
      </c>
      <c r="D1145" s="1" t="s">
        <v>1619</v>
      </c>
      <c r="E1145" s="1" t="s">
        <v>1378</v>
      </c>
      <c r="F1145" s="1" t="s">
        <v>1378</v>
      </c>
    </row>
    <row r="1146" spans="1:6" x14ac:dyDescent="0.2">
      <c r="A1146" s="46" t="s">
        <v>1378</v>
      </c>
    </row>
    <row r="1147" spans="1:6" x14ac:dyDescent="0.2">
      <c r="A1147" s="46" t="s">
        <v>1379</v>
      </c>
    </row>
    <row r="1148" spans="1:6" x14ac:dyDescent="0.2">
      <c r="A1148" s="44" t="s">
        <v>1620</v>
      </c>
      <c r="D1148" s="1" t="s">
        <v>1620</v>
      </c>
      <c r="E1148" s="1" t="s">
        <v>1295</v>
      </c>
      <c r="F1148" s="1" t="s">
        <v>1295</v>
      </c>
    </row>
    <row r="1149" spans="1:6" x14ac:dyDescent="0.2">
      <c r="A1149" s="46" t="s">
        <v>1295</v>
      </c>
    </row>
    <row r="1150" spans="1:6" x14ac:dyDescent="0.2">
      <c r="A1150" s="46" t="s">
        <v>1381</v>
      </c>
    </row>
    <row r="1151" spans="1:6" x14ac:dyDescent="0.2">
      <c r="A1151" s="44" t="s">
        <v>1621</v>
      </c>
      <c r="D1151" s="1" t="s">
        <v>1621</v>
      </c>
      <c r="E1151" s="1" t="s">
        <v>1383</v>
      </c>
      <c r="F1151" s="1" t="s">
        <v>1383</v>
      </c>
    </row>
    <row r="1152" spans="1:6" x14ac:dyDescent="0.2">
      <c r="A1152" s="46" t="s">
        <v>1383</v>
      </c>
    </row>
    <row r="1153" spans="1:6" x14ac:dyDescent="0.2">
      <c r="A1153" s="46" t="s">
        <v>1384</v>
      </c>
    </row>
    <row r="1154" spans="1:6" x14ac:dyDescent="0.2">
      <c r="A1154" s="44" t="s">
        <v>1622</v>
      </c>
      <c r="D1154" s="1" t="s">
        <v>1622</v>
      </c>
      <c r="E1154" s="1" t="s">
        <v>1386</v>
      </c>
      <c r="F1154" s="1" t="s">
        <v>1386</v>
      </c>
    </row>
    <row r="1155" spans="1:6" x14ac:dyDescent="0.2">
      <c r="A1155" s="46" t="s">
        <v>1386</v>
      </c>
    </row>
    <row r="1156" spans="1:6" x14ac:dyDescent="0.2">
      <c r="A1156" s="46" t="s">
        <v>1387</v>
      </c>
    </row>
    <row r="1157" spans="1:6" x14ac:dyDescent="0.2">
      <c r="A1157" s="44" t="s">
        <v>1623</v>
      </c>
      <c r="D1157" s="1" t="s">
        <v>1623</v>
      </c>
      <c r="E1157" s="1" t="s">
        <v>1389</v>
      </c>
      <c r="F1157" s="1" t="s">
        <v>1389</v>
      </c>
    </row>
    <row r="1158" spans="1:6" x14ac:dyDescent="0.2">
      <c r="A1158" s="46" t="s">
        <v>1389</v>
      </c>
    </row>
    <row r="1159" spans="1:6" x14ac:dyDescent="0.2">
      <c r="A1159" s="46" t="s">
        <v>1390</v>
      </c>
    </row>
    <row r="1160" spans="1:6" x14ac:dyDescent="0.2">
      <c r="A1160" s="44" t="s">
        <v>1624</v>
      </c>
      <c r="D1160" s="1" t="s">
        <v>1624</v>
      </c>
      <c r="E1160" s="1" t="s">
        <v>956</v>
      </c>
      <c r="F1160" s="1" t="s">
        <v>956</v>
      </c>
    </row>
    <row r="1161" spans="1:6" x14ac:dyDescent="0.2">
      <c r="A1161" s="46" t="s">
        <v>956</v>
      </c>
    </row>
    <row r="1162" spans="1:6" x14ac:dyDescent="0.2">
      <c r="A1162" s="46" t="s">
        <v>1392</v>
      </c>
    </row>
    <row r="1163" spans="1:6" x14ac:dyDescent="0.2">
      <c r="A1163" s="44" t="s">
        <v>1625</v>
      </c>
      <c r="D1163" s="1" t="s">
        <v>1625</v>
      </c>
      <c r="E1163" s="1" t="s">
        <v>1394</v>
      </c>
      <c r="F1163" s="1" t="s">
        <v>1394</v>
      </c>
    </row>
    <row r="1164" spans="1:6" x14ac:dyDescent="0.2">
      <c r="A1164" s="46" t="s">
        <v>1394</v>
      </c>
    </row>
    <row r="1165" spans="1:6" x14ac:dyDescent="0.2">
      <c r="A1165" s="46" t="s">
        <v>1395</v>
      </c>
    </row>
    <row r="1166" spans="1:6" x14ac:dyDescent="0.2">
      <c r="A1166" s="44" t="s">
        <v>1626</v>
      </c>
      <c r="D1166" s="1" t="s">
        <v>1626</v>
      </c>
      <c r="E1166" s="1" t="s">
        <v>927</v>
      </c>
      <c r="F1166" s="1" t="s">
        <v>927</v>
      </c>
    </row>
    <row r="1167" spans="1:6" x14ac:dyDescent="0.2">
      <c r="A1167" s="46" t="s">
        <v>927</v>
      </c>
    </row>
    <row r="1168" spans="1:6" x14ac:dyDescent="0.2">
      <c r="A1168" s="46" t="s">
        <v>1397</v>
      </c>
    </row>
    <row r="1169" spans="1:6" x14ac:dyDescent="0.2">
      <c r="A1169" s="44" t="s">
        <v>1627</v>
      </c>
      <c r="D1169" s="1" t="s">
        <v>1627</v>
      </c>
      <c r="E1169" s="1" t="s">
        <v>1399</v>
      </c>
      <c r="F1169" s="1" t="s">
        <v>1399</v>
      </c>
    </row>
    <row r="1170" spans="1:6" x14ac:dyDescent="0.2">
      <c r="A1170" s="46" t="s">
        <v>1399</v>
      </c>
    </row>
    <row r="1171" spans="1:6" x14ac:dyDescent="0.2">
      <c r="A1171" s="46" t="s">
        <v>1400</v>
      </c>
    </row>
    <row r="1172" spans="1:6" x14ac:dyDescent="0.2">
      <c r="A1172" s="44" t="s">
        <v>1628</v>
      </c>
      <c r="D1172" s="1" t="s">
        <v>1628</v>
      </c>
      <c r="E1172" s="1" t="s">
        <v>1150</v>
      </c>
      <c r="F1172" s="1" t="s">
        <v>1150</v>
      </c>
    </row>
    <row r="1173" spans="1:6" x14ac:dyDescent="0.2">
      <c r="A1173" s="46" t="s">
        <v>1150</v>
      </c>
    </row>
    <row r="1174" spans="1:6" x14ac:dyDescent="0.2">
      <c r="A1174" s="46" t="s">
        <v>1402</v>
      </c>
    </row>
    <row r="1175" spans="1:6" x14ac:dyDescent="0.2">
      <c r="A1175" s="44" t="s">
        <v>1629</v>
      </c>
      <c r="D1175" s="1" t="s">
        <v>1629</v>
      </c>
      <c r="E1175" s="1" t="s">
        <v>1404</v>
      </c>
      <c r="F1175" s="1" t="s">
        <v>1404</v>
      </c>
    </row>
    <row r="1176" spans="1:6" x14ac:dyDescent="0.2">
      <c r="A1176" s="46" t="s">
        <v>1404</v>
      </c>
    </row>
    <row r="1177" spans="1:6" x14ac:dyDescent="0.2">
      <c r="A1177" s="46" t="s">
        <v>1405</v>
      </c>
    </row>
    <row r="1178" spans="1:6" x14ac:dyDescent="0.2">
      <c r="A1178" s="44" t="s">
        <v>1630</v>
      </c>
      <c r="D1178" s="1" t="s">
        <v>1630</v>
      </c>
      <c r="E1178" s="1" t="s">
        <v>988</v>
      </c>
      <c r="F1178" s="1" t="s">
        <v>988</v>
      </c>
    </row>
    <row r="1179" spans="1:6" x14ac:dyDescent="0.2">
      <c r="A1179" s="46" t="s">
        <v>988</v>
      </c>
    </row>
    <row r="1180" spans="1:6" x14ac:dyDescent="0.2">
      <c r="A1180" s="46" t="s">
        <v>989</v>
      </c>
    </row>
    <row r="1181" spans="1:6" x14ac:dyDescent="0.2">
      <c r="A1181" s="44" t="s">
        <v>1631</v>
      </c>
      <c r="D1181" s="1" t="s">
        <v>1631</v>
      </c>
      <c r="E1181" s="1" t="s">
        <v>1408</v>
      </c>
      <c r="F1181" s="1" t="s">
        <v>1408</v>
      </c>
    </row>
    <row r="1182" spans="1:6" x14ac:dyDescent="0.2">
      <c r="A1182" s="46" t="s">
        <v>1408</v>
      </c>
    </row>
    <row r="1183" spans="1:6" x14ac:dyDescent="0.2">
      <c r="A1183" s="46" t="s">
        <v>1409</v>
      </c>
    </row>
    <row r="1184" spans="1:6" x14ac:dyDescent="0.2">
      <c r="A1184" s="44" t="s">
        <v>1632</v>
      </c>
      <c r="D1184" s="1" t="s">
        <v>1632</v>
      </c>
      <c r="E1184" s="1" t="s">
        <v>1399</v>
      </c>
      <c r="F1184" s="1" t="s">
        <v>1399</v>
      </c>
    </row>
    <row r="1185" spans="1:6" x14ac:dyDescent="0.2">
      <c r="A1185" s="46" t="s">
        <v>1399</v>
      </c>
    </row>
    <row r="1186" spans="1:6" x14ac:dyDescent="0.2">
      <c r="A1186" s="46" t="s">
        <v>1400</v>
      </c>
    </row>
    <row r="1187" spans="1:6" x14ac:dyDescent="0.2">
      <c r="A1187" s="44" t="s">
        <v>1633</v>
      </c>
      <c r="D1187" s="1" t="s">
        <v>1633</v>
      </c>
      <c r="E1187" s="1" t="s">
        <v>927</v>
      </c>
      <c r="F1187" s="1" t="s">
        <v>927</v>
      </c>
    </row>
    <row r="1188" spans="1:6" x14ac:dyDescent="0.2">
      <c r="A1188" s="46" t="s">
        <v>927</v>
      </c>
    </row>
    <row r="1189" spans="1:6" x14ac:dyDescent="0.2">
      <c r="A1189" s="46" t="s">
        <v>1412</v>
      </c>
    </row>
    <row r="1190" spans="1:6" x14ac:dyDescent="0.2">
      <c r="A1190" s="44" t="s">
        <v>1634</v>
      </c>
      <c r="D1190" s="1" t="s">
        <v>1634</v>
      </c>
      <c r="E1190" s="1" t="s">
        <v>983</v>
      </c>
      <c r="F1190" s="1" t="s">
        <v>983</v>
      </c>
    </row>
    <row r="1191" spans="1:6" x14ac:dyDescent="0.2">
      <c r="A1191" s="46" t="s">
        <v>983</v>
      </c>
    </row>
    <row r="1192" spans="1:6" x14ac:dyDescent="0.2">
      <c r="A1192" s="46" t="s">
        <v>1414</v>
      </c>
    </row>
    <row r="1193" spans="1:6" x14ac:dyDescent="0.2">
      <c r="A1193" s="44" t="s">
        <v>1635</v>
      </c>
      <c r="D1193" s="1" t="s">
        <v>1635</v>
      </c>
      <c r="E1193" s="1" t="s">
        <v>970</v>
      </c>
      <c r="F1193" s="1" t="s">
        <v>970</v>
      </c>
    </row>
    <row r="1194" spans="1:6" x14ac:dyDescent="0.2">
      <c r="A1194" s="46" t="s">
        <v>970</v>
      </c>
    </row>
    <row r="1195" spans="1:6" x14ac:dyDescent="0.2">
      <c r="A1195" s="46" t="s">
        <v>1416</v>
      </c>
    </row>
    <row r="1196" spans="1:6" x14ac:dyDescent="0.2">
      <c r="A1196" s="44" t="s">
        <v>1636</v>
      </c>
      <c r="D1196" s="1" t="s">
        <v>1636</v>
      </c>
      <c r="E1196" s="1" t="s">
        <v>1418</v>
      </c>
      <c r="F1196" s="1" t="s">
        <v>1418</v>
      </c>
    </row>
    <row r="1197" spans="1:6" x14ac:dyDescent="0.2">
      <c r="A1197" s="46" t="s">
        <v>1418</v>
      </c>
    </row>
    <row r="1198" spans="1:6" x14ac:dyDescent="0.2">
      <c r="A1198" s="46" t="s">
        <v>1419</v>
      </c>
    </row>
    <row r="1199" spans="1:6" x14ac:dyDescent="0.2">
      <c r="A1199" s="44" t="s">
        <v>1637</v>
      </c>
      <c r="D1199" s="1" t="s">
        <v>1637</v>
      </c>
      <c r="E1199" s="1" t="s">
        <v>1233</v>
      </c>
      <c r="F1199" s="1" t="s">
        <v>1233</v>
      </c>
    </row>
    <row r="1200" spans="1:6" x14ac:dyDescent="0.2">
      <c r="A1200" s="46" t="s">
        <v>1233</v>
      </c>
    </row>
    <row r="1201" spans="1:1" x14ac:dyDescent="0.2">
      <c r="A1201" s="46" t="s">
        <v>1421</v>
      </c>
    </row>
  </sheetData>
  <autoFilter ref="A1:A1201" xr:uid="{2D397CBD-0635-4F9D-9E94-85A9C9258647}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2EB49-3422-47FD-8862-9FFD4D5815C3}">
  <sheetPr codeName="Sheet5"/>
  <dimension ref="A1:C12"/>
  <sheetViews>
    <sheetView workbookViewId="0">
      <selection activeCell="B10" sqref="B10"/>
    </sheetView>
  </sheetViews>
  <sheetFormatPr baseColWidth="10" defaultColWidth="8.83203125" defaultRowHeight="15" x14ac:dyDescent="0.2"/>
  <cols>
    <col min="3" max="3" width="10" bestFit="1" customWidth="1"/>
  </cols>
  <sheetData>
    <row r="1" spans="1:3" x14ac:dyDescent="0.2">
      <c r="A1" s="52" t="s">
        <v>749</v>
      </c>
      <c r="B1" s="52" t="s">
        <v>1638</v>
      </c>
      <c r="C1" s="52" t="s">
        <v>1639</v>
      </c>
    </row>
    <row r="2" spans="1:3" x14ac:dyDescent="0.2">
      <c r="A2" s="53" t="s">
        <v>1640</v>
      </c>
      <c r="B2" s="54">
        <v>37</v>
      </c>
      <c r="C2" s="55">
        <v>87</v>
      </c>
    </row>
    <row r="3" spans="1:3" x14ac:dyDescent="0.2">
      <c r="A3" s="53" t="s">
        <v>1641</v>
      </c>
      <c r="B3" s="55">
        <v>88</v>
      </c>
      <c r="C3" s="54">
        <v>48</v>
      </c>
    </row>
    <row r="4" spans="1:3" x14ac:dyDescent="0.2">
      <c r="A4" s="53" t="s">
        <v>1642</v>
      </c>
      <c r="B4" s="53">
        <v>79</v>
      </c>
      <c r="C4" s="55">
        <v>85</v>
      </c>
    </row>
    <row r="5" spans="1:3" x14ac:dyDescent="0.2">
      <c r="A5" s="53" t="s">
        <v>1643</v>
      </c>
      <c r="B5" s="53">
        <v>76</v>
      </c>
      <c r="C5" s="54">
        <v>44</v>
      </c>
    </row>
    <row r="6" spans="1:3" x14ac:dyDescent="0.2">
      <c r="A6" s="53" t="s">
        <v>1644</v>
      </c>
      <c r="B6" s="55">
        <v>82</v>
      </c>
      <c r="C6" s="53">
        <v>72</v>
      </c>
    </row>
    <row r="7" spans="1:3" x14ac:dyDescent="0.2">
      <c r="A7" s="53" t="s">
        <v>1645</v>
      </c>
      <c r="B7" s="55">
        <v>95</v>
      </c>
      <c r="C7" s="53">
        <v>69</v>
      </c>
    </row>
    <row r="9" spans="1:3" x14ac:dyDescent="0.2">
      <c r="A9" s="30" t="s">
        <v>901</v>
      </c>
      <c r="B9" s="30" t="s">
        <v>1646</v>
      </c>
    </row>
    <row r="10" spans="1:3" x14ac:dyDescent="0.2">
      <c r="A10" s="54"/>
      <c r="B10" cm="1">
        <f t="array" ref="B10">countColor(B2:C7,A10)</f>
        <v>3</v>
      </c>
    </row>
    <row r="11" spans="1:3" x14ac:dyDescent="0.2">
      <c r="A11" s="55"/>
      <c r="B11">
        <v>5</v>
      </c>
    </row>
    <row r="12" spans="1:3" x14ac:dyDescent="0.2">
      <c r="B12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6FE0E-730C-42FC-A220-8CA30C82D780}">
  <sheetPr codeName="Sheet7"/>
  <dimension ref="A1:C9"/>
  <sheetViews>
    <sheetView workbookViewId="0">
      <selection activeCell="J15" sqref="J15"/>
    </sheetView>
  </sheetViews>
  <sheetFormatPr baseColWidth="10" defaultColWidth="8.83203125" defaultRowHeight="15" x14ac:dyDescent="0.2"/>
  <cols>
    <col min="2" max="2" width="10.1640625" bestFit="1" customWidth="1"/>
  </cols>
  <sheetData>
    <row r="1" spans="1:3" x14ac:dyDescent="0.2">
      <c r="A1" s="30" t="s">
        <v>1647</v>
      </c>
      <c r="B1" s="30" t="s">
        <v>1648</v>
      </c>
      <c r="C1" s="30" t="s">
        <v>1649</v>
      </c>
    </row>
    <row r="2" spans="1:3" x14ac:dyDescent="0.2">
      <c r="A2">
        <v>1</v>
      </c>
      <c r="B2" t="s">
        <v>1650</v>
      </c>
      <c r="C2">
        <v>727</v>
      </c>
    </row>
    <row r="3" spans="1:3" x14ac:dyDescent="0.2">
      <c r="A3">
        <v>2</v>
      </c>
      <c r="B3" t="s">
        <v>1651</v>
      </c>
      <c r="C3">
        <v>759</v>
      </c>
    </row>
    <row r="4" spans="1:3" x14ac:dyDescent="0.2">
      <c r="A4">
        <v>3</v>
      </c>
      <c r="B4" t="s">
        <v>1650</v>
      </c>
      <c r="C4">
        <v>584</v>
      </c>
    </row>
    <row r="5" spans="1:3" x14ac:dyDescent="0.2">
      <c r="A5">
        <v>4</v>
      </c>
      <c r="B5" t="s">
        <v>1652</v>
      </c>
      <c r="C5">
        <v>774</v>
      </c>
    </row>
    <row r="6" spans="1:3" x14ac:dyDescent="0.2">
      <c r="A6">
        <v>5</v>
      </c>
      <c r="B6" t="s">
        <v>1650</v>
      </c>
      <c r="C6">
        <v>870</v>
      </c>
    </row>
    <row r="7" spans="1:3" x14ac:dyDescent="0.2">
      <c r="A7">
        <v>6</v>
      </c>
      <c r="B7" t="s">
        <v>1651</v>
      </c>
      <c r="C7">
        <v>800</v>
      </c>
    </row>
    <row r="9" spans="1:3" x14ac:dyDescent="0.2">
      <c r="A9" s="65" t="s">
        <v>1653</v>
      </c>
      <c r="B9" s="65"/>
      <c r="C9">
        <v>2955</v>
      </c>
    </row>
  </sheetData>
  <mergeCells count="1">
    <mergeCell ref="A9:B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79652-E834-45BF-B142-E9C25E23D847}">
  <sheetPr codeName="Sheet8"/>
  <dimension ref="A1:B73"/>
  <sheetViews>
    <sheetView tabSelected="1" workbookViewId="0">
      <selection activeCell="J24" sqref="J24"/>
    </sheetView>
  </sheetViews>
  <sheetFormatPr baseColWidth="10" defaultColWidth="8.83203125" defaultRowHeight="15" x14ac:dyDescent="0.2"/>
  <cols>
    <col min="1" max="2" width="22" bestFit="1" customWidth="1"/>
  </cols>
  <sheetData>
    <row r="1" spans="1:2" x14ac:dyDescent="0.2">
      <c r="A1" s="30" t="s">
        <v>749</v>
      </c>
      <c r="B1" s="30" t="s">
        <v>1731</v>
      </c>
    </row>
    <row r="2" spans="1:2" x14ac:dyDescent="0.2">
      <c r="A2" t="s">
        <v>1654</v>
      </c>
      <c r="B2" t="s">
        <v>768</v>
      </c>
    </row>
    <row r="3" spans="1:2" x14ac:dyDescent="0.2">
      <c r="A3" t="s">
        <v>1655</v>
      </c>
      <c r="B3" t="s">
        <v>782</v>
      </c>
    </row>
    <row r="4" spans="1:2" x14ac:dyDescent="0.2">
      <c r="A4" t="s">
        <v>1656</v>
      </c>
      <c r="B4" t="s">
        <v>808</v>
      </c>
    </row>
    <row r="5" spans="1:2" x14ac:dyDescent="0.2">
      <c r="A5" t="s">
        <v>1657</v>
      </c>
      <c r="B5" t="s">
        <v>754</v>
      </c>
    </row>
    <row r="6" spans="1:2" x14ac:dyDescent="0.2">
      <c r="A6" t="s">
        <v>1658</v>
      </c>
      <c r="B6" t="s">
        <v>800</v>
      </c>
    </row>
    <row r="7" spans="1:2" x14ac:dyDescent="0.2">
      <c r="A7" t="s">
        <v>1659</v>
      </c>
      <c r="B7" t="s">
        <v>827</v>
      </c>
    </row>
    <row r="8" spans="1:2" x14ac:dyDescent="0.2">
      <c r="A8" t="s">
        <v>1660</v>
      </c>
      <c r="B8" t="s">
        <v>851</v>
      </c>
    </row>
    <row r="9" spans="1:2" x14ac:dyDescent="0.2">
      <c r="A9" t="s">
        <v>1661</v>
      </c>
      <c r="B9" t="s">
        <v>810</v>
      </c>
    </row>
    <row r="10" spans="1:2" x14ac:dyDescent="0.2">
      <c r="A10" t="s">
        <v>1662</v>
      </c>
      <c r="B10" t="s">
        <v>816</v>
      </c>
    </row>
    <row r="11" spans="1:2" x14ac:dyDescent="0.2">
      <c r="A11" t="s">
        <v>1663</v>
      </c>
      <c r="B11" t="s">
        <v>1726</v>
      </c>
    </row>
    <row r="12" spans="1:2" x14ac:dyDescent="0.2">
      <c r="A12" t="s">
        <v>1664</v>
      </c>
      <c r="B12" t="s">
        <v>780</v>
      </c>
    </row>
    <row r="13" spans="1:2" x14ac:dyDescent="0.2">
      <c r="A13" t="s">
        <v>1665</v>
      </c>
      <c r="B13" t="s">
        <v>839</v>
      </c>
    </row>
    <row r="14" spans="1:2" x14ac:dyDescent="0.2">
      <c r="A14" t="s">
        <v>1666</v>
      </c>
      <c r="B14" t="s">
        <v>778</v>
      </c>
    </row>
    <row r="15" spans="1:2" x14ac:dyDescent="0.2">
      <c r="A15" t="s">
        <v>1667</v>
      </c>
      <c r="B15" t="s">
        <v>786</v>
      </c>
    </row>
    <row r="16" spans="1:2" x14ac:dyDescent="0.2">
      <c r="A16" t="s">
        <v>1668</v>
      </c>
      <c r="B16" t="s">
        <v>792</v>
      </c>
    </row>
    <row r="17" spans="1:2" x14ac:dyDescent="0.2">
      <c r="A17" t="s">
        <v>1669</v>
      </c>
      <c r="B17" t="s">
        <v>818</v>
      </c>
    </row>
    <row r="18" spans="1:2" x14ac:dyDescent="0.2">
      <c r="A18" t="s">
        <v>1670</v>
      </c>
      <c r="B18" t="s">
        <v>1727</v>
      </c>
    </row>
    <row r="19" spans="1:2" x14ac:dyDescent="0.2">
      <c r="A19" t="s">
        <v>1671</v>
      </c>
      <c r="B19" t="s">
        <v>829</v>
      </c>
    </row>
    <row r="20" spans="1:2" x14ac:dyDescent="0.2">
      <c r="A20" t="s">
        <v>1672</v>
      </c>
      <c r="B20" t="s">
        <v>863</v>
      </c>
    </row>
    <row r="21" spans="1:2" x14ac:dyDescent="0.2">
      <c r="A21" t="s">
        <v>1673</v>
      </c>
      <c r="B21" t="s">
        <v>1728</v>
      </c>
    </row>
    <row r="22" spans="1:2" x14ac:dyDescent="0.2">
      <c r="A22" t="s">
        <v>1674</v>
      </c>
      <c r="B22" t="s">
        <v>885</v>
      </c>
    </row>
    <row r="23" spans="1:2" x14ac:dyDescent="0.2">
      <c r="A23" t="s">
        <v>1675</v>
      </c>
      <c r="B23" t="s">
        <v>812</v>
      </c>
    </row>
    <row r="24" spans="1:2" x14ac:dyDescent="0.2">
      <c r="A24" t="s">
        <v>1676</v>
      </c>
      <c r="B24" t="s">
        <v>837</v>
      </c>
    </row>
    <row r="25" spans="1:2" x14ac:dyDescent="0.2">
      <c r="A25" t="s">
        <v>1677</v>
      </c>
      <c r="B25" t="s">
        <v>847</v>
      </c>
    </row>
    <row r="26" spans="1:2" x14ac:dyDescent="0.2">
      <c r="A26" t="s">
        <v>1678</v>
      </c>
      <c r="B26" t="s">
        <v>766</v>
      </c>
    </row>
    <row r="27" spans="1:2" x14ac:dyDescent="0.2">
      <c r="A27" t="s">
        <v>1679</v>
      </c>
      <c r="B27" t="s">
        <v>841</v>
      </c>
    </row>
    <row r="28" spans="1:2" x14ac:dyDescent="0.2">
      <c r="A28" t="s">
        <v>1680</v>
      </c>
      <c r="B28" t="s">
        <v>865</v>
      </c>
    </row>
    <row r="29" spans="1:2" x14ac:dyDescent="0.2">
      <c r="A29" t="s">
        <v>1681</v>
      </c>
      <c r="B29" t="s">
        <v>756</v>
      </c>
    </row>
    <row r="30" spans="1:2" x14ac:dyDescent="0.2">
      <c r="A30" t="s">
        <v>1682</v>
      </c>
      <c r="B30" t="s">
        <v>762</v>
      </c>
    </row>
    <row r="31" spans="1:2" x14ac:dyDescent="0.2">
      <c r="A31" t="s">
        <v>1683</v>
      </c>
      <c r="B31" t="s">
        <v>796</v>
      </c>
    </row>
    <row r="32" spans="1:2" x14ac:dyDescent="0.2">
      <c r="A32" t="s">
        <v>1684</v>
      </c>
      <c r="B32" t="s">
        <v>820</v>
      </c>
    </row>
    <row r="33" spans="1:2" x14ac:dyDescent="0.2">
      <c r="A33" t="s">
        <v>1685</v>
      </c>
      <c r="B33" t="s">
        <v>855</v>
      </c>
    </row>
    <row r="34" spans="1:2" x14ac:dyDescent="0.2">
      <c r="A34" t="s">
        <v>1686</v>
      </c>
      <c r="B34" t="s">
        <v>879</v>
      </c>
    </row>
    <row r="35" spans="1:2" x14ac:dyDescent="0.2">
      <c r="A35" t="s">
        <v>1687</v>
      </c>
      <c r="B35" t="s">
        <v>887</v>
      </c>
    </row>
    <row r="36" spans="1:2" x14ac:dyDescent="0.2">
      <c r="A36" t="s">
        <v>1688</v>
      </c>
      <c r="B36" t="s">
        <v>776</v>
      </c>
    </row>
    <row r="37" spans="1:2" x14ac:dyDescent="0.2">
      <c r="A37" t="s">
        <v>1689</v>
      </c>
      <c r="B37" t="s">
        <v>788</v>
      </c>
    </row>
    <row r="38" spans="1:2" x14ac:dyDescent="0.2">
      <c r="A38" t="s">
        <v>1690</v>
      </c>
      <c r="B38" t="s">
        <v>802</v>
      </c>
    </row>
    <row r="39" spans="1:2" x14ac:dyDescent="0.2">
      <c r="A39" t="s">
        <v>1691</v>
      </c>
      <c r="B39" t="s">
        <v>822</v>
      </c>
    </row>
    <row r="40" spans="1:2" x14ac:dyDescent="0.2">
      <c r="A40" t="s">
        <v>1692</v>
      </c>
      <c r="B40" t="s">
        <v>873</v>
      </c>
    </row>
    <row r="41" spans="1:2" x14ac:dyDescent="0.2">
      <c r="A41" t="s">
        <v>1693</v>
      </c>
      <c r="B41" t="s">
        <v>861</v>
      </c>
    </row>
    <row r="42" spans="1:2" x14ac:dyDescent="0.2">
      <c r="A42" t="s">
        <v>1694</v>
      </c>
      <c r="B42" t="s">
        <v>877</v>
      </c>
    </row>
    <row r="43" spans="1:2" x14ac:dyDescent="0.2">
      <c r="A43" t="s">
        <v>1695</v>
      </c>
      <c r="B43" t="s">
        <v>889</v>
      </c>
    </row>
    <row r="44" spans="1:2" x14ac:dyDescent="0.2">
      <c r="A44" t="s">
        <v>1696</v>
      </c>
      <c r="B44" t="s">
        <v>758</v>
      </c>
    </row>
    <row r="45" spans="1:2" x14ac:dyDescent="0.2">
      <c r="A45" t="s">
        <v>1697</v>
      </c>
      <c r="B45" t="s">
        <v>774</v>
      </c>
    </row>
    <row r="46" spans="1:2" x14ac:dyDescent="0.2">
      <c r="A46" t="s">
        <v>1698</v>
      </c>
      <c r="B46" t="s">
        <v>798</v>
      </c>
    </row>
    <row r="47" spans="1:2" x14ac:dyDescent="0.2">
      <c r="A47" t="s">
        <v>1699</v>
      </c>
      <c r="B47" t="s">
        <v>790</v>
      </c>
    </row>
    <row r="48" spans="1:2" x14ac:dyDescent="0.2">
      <c r="A48" t="s">
        <v>1700</v>
      </c>
      <c r="B48" t="s">
        <v>814</v>
      </c>
    </row>
    <row r="49" spans="1:2" x14ac:dyDescent="0.2">
      <c r="A49" t="s">
        <v>1701</v>
      </c>
      <c r="B49" t="s">
        <v>1729</v>
      </c>
    </row>
    <row r="50" spans="1:2" x14ac:dyDescent="0.2">
      <c r="A50" t="s">
        <v>1702</v>
      </c>
      <c r="B50" t="s">
        <v>760</v>
      </c>
    </row>
    <row r="51" spans="1:2" x14ac:dyDescent="0.2">
      <c r="A51" t="s">
        <v>1703</v>
      </c>
      <c r="B51" t="s">
        <v>869</v>
      </c>
    </row>
    <row r="52" spans="1:2" x14ac:dyDescent="0.2">
      <c r="A52" t="s">
        <v>1704</v>
      </c>
      <c r="B52" t="s">
        <v>883</v>
      </c>
    </row>
    <row r="53" spans="1:2" x14ac:dyDescent="0.2">
      <c r="A53" t="s">
        <v>1705</v>
      </c>
      <c r="B53" t="s">
        <v>784</v>
      </c>
    </row>
    <row r="54" spans="1:2" x14ac:dyDescent="0.2">
      <c r="A54" t="s">
        <v>1706</v>
      </c>
      <c r="B54" t="s">
        <v>843</v>
      </c>
    </row>
    <row r="55" spans="1:2" x14ac:dyDescent="0.2">
      <c r="A55" t="s">
        <v>1707</v>
      </c>
      <c r="B55" t="s">
        <v>849</v>
      </c>
    </row>
    <row r="56" spans="1:2" x14ac:dyDescent="0.2">
      <c r="A56" t="s">
        <v>1708</v>
      </c>
      <c r="B56" t="s">
        <v>770</v>
      </c>
    </row>
    <row r="57" spans="1:2" x14ac:dyDescent="0.2">
      <c r="A57" t="s">
        <v>1709</v>
      </c>
      <c r="B57" t="s">
        <v>823</v>
      </c>
    </row>
    <row r="58" spans="1:2" x14ac:dyDescent="0.2">
      <c r="A58" t="s">
        <v>1710</v>
      </c>
      <c r="B58" t="s">
        <v>893</v>
      </c>
    </row>
    <row r="59" spans="1:2" x14ac:dyDescent="0.2">
      <c r="A59" t="s">
        <v>1711</v>
      </c>
      <c r="B59" t="s">
        <v>853</v>
      </c>
    </row>
    <row r="60" spans="1:2" x14ac:dyDescent="0.2">
      <c r="A60" t="s">
        <v>1712</v>
      </c>
      <c r="B60" t="s">
        <v>859</v>
      </c>
    </row>
    <row r="61" spans="1:2" x14ac:dyDescent="0.2">
      <c r="A61" t="s">
        <v>1713</v>
      </c>
      <c r="B61" t="s">
        <v>895</v>
      </c>
    </row>
    <row r="62" spans="1:2" x14ac:dyDescent="0.2">
      <c r="A62" t="s">
        <v>1714</v>
      </c>
      <c r="B62" t="s">
        <v>804</v>
      </c>
    </row>
    <row r="63" spans="1:2" x14ac:dyDescent="0.2">
      <c r="A63" t="s">
        <v>1715</v>
      </c>
      <c r="B63" t="s">
        <v>871</v>
      </c>
    </row>
    <row r="64" spans="1:2" x14ac:dyDescent="0.2">
      <c r="A64" t="s">
        <v>1716</v>
      </c>
      <c r="B64" t="s">
        <v>875</v>
      </c>
    </row>
    <row r="65" spans="1:2" x14ac:dyDescent="0.2">
      <c r="A65" t="s">
        <v>1717</v>
      </c>
      <c r="B65" t="s">
        <v>881</v>
      </c>
    </row>
    <row r="66" spans="1:2" x14ac:dyDescent="0.2">
      <c r="A66" t="s">
        <v>1718</v>
      </c>
      <c r="B66" t="s">
        <v>764</v>
      </c>
    </row>
    <row r="67" spans="1:2" x14ac:dyDescent="0.2">
      <c r="A67" t="s">
        <v>1719</v>
      </c>
      <c r="B67" t="s">
        <v>794</v>
      </c>
    </row>
    <row r="68" spans="1:2" x14ac:dyDescent="0.2">
      <c r="A68" t="s">
        <v>1720</v>
      </c>
      <c r="B68" t="s">
        <v>806</v>
      </c>
    </row>
    <row r="69" spans="1:2" x14ac:dyDescent="0.2">
      <c r="A69" t="s">
        <v>1721</v>
      </c>
      <c r="B69" t="s">
        <v>1730</v>
      </c>
    </row>
    <row r="70" spans="1:2" x14ac:dyDescent="0.2">
      <c r="A70" t="s">
        <v>1722</v>
      </c>
      <c r="B70" t="s">
        <v>845</v>
      </c>
    </row>
    <row r="71" spans="1:2" x14ac:dyDescent="0.2">
      <c r="A71" t="s">
        <v>1723</v>
      </c>
      <c r="B71" t="s">
        <v>857</v>
      </c>
    </row>
    <row r="72" spans="1:2" x14ac:dyDescent="0.2">
      <c r="A72" t="s">
        <v>1724</v>
      </c>
      <c r="B72" t="s">
        <v>867</v>
      </c>
    </row>
    <row r="73" spans="1:2" x14ac:dyDescent="0.2">
      <c r="A73" t="s">
        <v>1725</v>
      </c>
      <c r="B73" t="s">
        <v>891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Phone Numbers</vt:lpstr>
      <vt:lpstr>ProductAttributes</vt:lpstr>
      <vt:lpstr>Profits</vt:lpstr>
      <vt:lpstr>Names</vt:lpstr>
      <vt:lpstr>Colors</vt:lpstr>
      <vt:lpstr>Products</vt:lpstr>
      <vt:lpstr>Capitalized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Simran Abhay Sinha</cp:lastModifiedBy>
  <dcterms:created xsi:type="dcterms:W3CDTF">2010-04-19T16:22:22Z</dcterms:created>
  <dcterms:modified xsi:type="dcterms:W3CDTF">2025-01-29T03:49:07Z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56835b89-1dd3-4ec8-9187-707ff99a37af</vt:lpwstr>
  </property>
</Properties>
</file>