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mransinha/Documents/Semester 3/SDA/Assignments/Week 3/"/>
    </mc:Choice>
  </mc:AlternateContent>
  <xr:revisionPtr revIDLastSave="0" documentId="13_ncr:1_{9BEFE270-33ED-F44C-96E0-BBA3A4340D19}" xr6:coauthVersionLast="47" xr6:coauthVersionMax="47" xr10:uidLastSave="{00000000-0000-0000-0000-000000000000}"/>
  <bookViews>
    <workbookView xWindow="0" yWindow="740" windowWidth="29400" windowHeight="18380" activeTab="7" xr2:uid="{DE332225-E589-48A7-8AE1-BCF2A90B1482}"/>
  </bookViews>
  <sheets>
    <sheet name="Sheet1" sheetId="8" r:id="rId1"/>
    <sheet name="Sheet2" sheetId="3" r:id="rId2"/>
    <sheet name="Commission" sheetId="9" r:id="rId3"/>
    <sheet name="shipping" sheetId="11" r:id="rId4"/>
    <sheet name="Month" sheetId="12" r:id="rId5"/>
    <sheet name="Dice" sheetId="13" r:id="rId6"/>
    <sheet name="Menu" sheetId="14" r:id="rId7"/>
    <sheet name="GenAIPrompt" sheetId="15" r:id="rId8"/>
  </sheets>
  <functionGroups builtInGroupCount="19"/>
  <definedNames>
    <definedName name="_xlnm._FilterDatabase" localSheetId="4" hidden="1">Month!$A$3:$B$34</definedName>
    <definedName name="_xlnm._FilterDatabase" localSheetId="3" hidden="1">shipping!#REF!</definedName>
    <definedName name="solver_eng" localSheetId="6" hidden="1">1</definedName>
    <definedName name="solver_neg" localSheetId="6" hidden="1">1</definedName>
    <definedName name="solver_num" localSheetId="6" hidden="1">0</definedName>
    <definedName name="solver_opt" localSheetId="6" hidden="1">Menu!$B$14</definedName>
    <definedName name="solver_typ" localSheetId="6" hidden="1">1</definedName>
    <definedName name="solver_val" localSheetId="6" hidden="1">0</definedName>
    <definedName name="solver_ver" localSheetId="6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E4" i="3"/>
  <c r="D11" i="14"/>
  <c r="D18" i="9" a="1"/>
  <c r="D19" i="9" a="1"/>
  <c r="D17" i="9" a="1"/>
  <c r="D20" i="9" a="1"/>
  <c r="D21" i="9" a="1"/>
  <c r="D17" i="9" l="1"/>
  <c r="D20" i="9"/>
  <c r="D19" i="9"/>
  <c r="D21" i="9"/>
  <c r="D18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<sst xmlns="http://schemas.openxmlformats.org/spreadsheetml/2006/main" count="120" uniqueCount="64">
  <si>
    <t>week</t>
  </si>
  <si>
    <t>demand</t>
  </si>
  <si>
    <t>MaxWeight</t>
  </si>
  <si>
    <t>Cost</t>
  </si>
  <si>
    <t>Commission</t>
  </si>
  <si>
    <t>Type</t>
  </si>
  <si>
    <t>Unit Sales</t>
  </si>
  <si>
    <t>Mandarin</t>
  </si>
  <si>
    <t>Lemon</t>
  </si>
  <si>
    <t>Garlic</t>
  </si>
  <si>
    <t>Rosemary</t>
  </si>
  <si>
    <t>Basil</t>
  </si>
  <si>
    <t>Day</t>
  </si>
  <si>
    <t>Sales</t>
  </si>
  <si>
    <t>Roll</t>
  </si>
  <si>
    <t>Reward</t>
  </si>
  <si>
    <t>food item</t>
  </si>
  <si>
    <t>unit price</t>
  </si>
  <si>
    <t>units ordered</t>
  </si>
  <si>
    <t>cost of item</t>
  </si>
  <si>
    <t>burger</t>
  </si>
  <si>
    <t>fries</t>
  </si>
  <si>
    <t>soda</t>
  </si>
  <si>
    <t>chicken</t>
  </si>
  <si>
    <t>big mac</t>
  </si>
  <si>
    <t>milk shake</t>
  </si>
  <si>
    <t>nuggets</t>
  </si>
  <si>
    <t>happy meal</t>
  </si>
  <si>
    <t>hot coffee</t>
  </si>
  <si>
    <t>Total order cost</t>
  </si>
  <si>
    <t>Cell C3 value is:10</t>
  </si>
  <si>
    <t>Cell C4 value is:20</t>
  </si>
  <si>
    <t>Cell C5 value is:30</t>
  </si>
  <si>
    <t>Cell C6 value is:40</t>
  </si>
  <si>
    <t>Cell C7 value is:45</t>
  </si>
  <si>
    <t>Cell C8 value is:50</t>
  </si>
  <si>
    <t>Simple Forecast is</t>
  </si>
  <si>
    <t>Weighted Forecast is</t>
  </si>
  <si>
    <t>Minimum Value</t>
  </si>
  <si>
    <t>Maximum Value</t>
  </si>
  <si>
    <t>WACost</t>
  </si>
  <si>
    <t>Review Text</t>
  </si>
  <si>
    <t>Exceeded my expectations greatly!</t>
  </si>
  <si>
    <t>Would buy this again!</t>
  </si>
  <si>
    <t>Simply the best choice!</t>
  </si>
  <si>
    <t>Completely useless and overpriced.</t>
  </si>
  <si>
    <t>This broke within days!</t>
  </si>
  <si>
    <t>Customer service is awful.</t>
  </si>
  <si>
    <t>Not as advertised, disappointed.</t>
  </si>
  <si>
    <t>Regret buying this product.</t>
  </si>
  <si>
    <t>Defective and poor craftsmanship.</t>
  </si>
  <si>
    <t>Shipping took forever, frustrating.</t>
  </si>
  <si>
    <t>Total scam, avoid this!</t>
  </si>
  <si>
    <t>Worst experience I’ve had.</t>
  </si>
  <si>
    <t>Average quality, decent price.</t>
  </si>
  <si>
    <t>Not bad, but not great.</t>
  </si>
  <si>
    <t>Works fine, expected better.</t>
  </si>
  <si>
    <t>Mixed feelings about this.</t>
  </si>
  <si>
    <t>Keywords</t>
  </si>
  <si>
    <t>Category</t>
  </si>
  <si>
    <t>Positive</t>
  </si>
  <si>
    <t>Negative</t>
  </si>
  <si>
    <t>Neutral</t>
  </si>
  <si>
    <t>AI_Category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</si>
</sst>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[$$-409]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b/>
      <i/>
      <u/>
      <sz val="14"/>
      <color rgb="FF00FF00"/>
      <name val="Arial"/>
      <family val="2"/>
    </font>
    <font>
      <i/>
      <u/>
      <sz val="14"/>
      <color rgb="FF00FF00"/>
      <name val="Arial"/>
      <family val="2"/>
    </font>
    <font>
      <sz val="11"/>
      <color theme="1"/>
      <name val="Helvetica Neue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00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0" fontId="4" fillId="0" borderId="0" xfId="0" applyFont="1"/>
    <xf numFmtId="0" fontId="5" fillId="0" borderId="0" xfId="0" applyFont="1"/>
    <xf numFmtId="0" fontId="2" fillId="3" borderId="1" xfId="0" applyFont="1" applyFill="1" applyBorder="1"/>
    <xf numFmtId="0" fontId="0" fillId="4" borderId="0" xfId="0" applyFill="1"/>
    <xf numFmtId="164" fontId="0" fillId="0" borderId="0" xfId="0" applyNumberFormat="1"/>
    <xf numFmtId="7" fontId="0" fillId="0" borderId="0" xfId="1" applyNumberFormat="1" applyFont="1"/>
    <xf numFmtId="7" fontId="0" fillId="4" borderId="0" xfId="1" applyNumberFormat="1" applyFont="1" applyFill="1"/>
    <xf numFmtId="0" fontId="0" fillId="4" borderId="2" xfId="0" applyFill="1" applyBorder="1"/>
    <xf numFmtId="7" fontId="0" fillId="4" borderId="2" xfId="1" applyNumberFormat="1" applyFont="1" applyFill="1" applyBorder="1"/>
    <xf numFmtId="44" fontId="0" fillId="0" borderId="0" xfId="0" applyNumberFormat="1"/>
    <xf numFmtId="0" fontId="0" fillId="5" borderId="0" xfId="0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6" fillId="3" borderId="1" xfId="0" applyFont="1" applyFill="1" applyBorder="1"/>
    <xf numFmtId="0" fontId="7" fillId="0" borderId="0" xfId="0" applyFont="1"/>
    <xf numFmtId="0" fontId="8" fillId="3" borderId="1" xfId="0" applyFont="1" applyFill="1" applyBorder="1"/>
    <xf numFmtId="0" fontId="9" fillId="0" borderId="0" xfId="0" applyFont="1"/>
    <xf numFmtId="0" fontId="10" fillId="0" borderId="0" xfId="0" applyFont="1"/>
  </cellXfs>
  <cellStyles count="2">
    <cellStyle name="Currency" xfId="1" builtinId="4"/>
    <cellStyle name="Normal" xfId="0" builtinId="0"/>
  </cellStyles>
  <dxfs count="1">
    <dxf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0</xdr:row>
      <xdr:rowOff>171451</xdr:rowOff>
    </xdr:from>
    <xdr:to>
      <xdr:col>1</xdr:col>
      <xdr:colOff>333375</xdr:colOff>
      <xdr:row>2</xdr:row>
      <xdr:rowOff>133351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37A34853-E84A-42F5-A7F1-39E8E72614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209550" y="171451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3898A3-ECDB-4254-BED2-DFCDFBE4DC57}" name="Table1" displayName="Table1" ref="B2:C8" totalsRowShown="0" headerRowDxfId="0">
  <autoFilter ref="B2:C8" xr:uid="{A5C74100-1892-43BE-B2D8-1CD7B1DABA3F}"/>
  <tableColumns count="2">
    <tableColumn id="1" xr3:uid="{96D77A77-893B-4BB9-AF56-69778D441A48}" name="MaxWeight"/>
    <tableColumn id="2" xr3:uid="{19C3E1AE-6773-4C79-8E7C-4EC07158E579}" name="Cost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3AB3-7C29-407E-A2AB-8B08E366D882}">
  <sheetPr codeName="Sheet5"/>
  <dimension ref="B2:E8"/>
  <sheetViews>
    <sheetView zoomScale="150" workbookViewId="0">
      <selection activeCell="D25" sqref="D25"/>
    </sheetView>
  </sheetViews>
  <sheetFormatPr baseColWidth="10" defaultColWidth="8.83203125" defaultRowHeight="15" x14ac:dyDescent="0.2"/>
  <cols>
    <col min="2" max="2" width="12.1640625" customWidth="1"/>
  </cols>
  <sheetData>
    <row r="2" spans="2:5" x14ac:dyDescent="0.2">
      <c r="B2" s="2" t="s">
        <v>2</v>
      </c>
      <c r="C2" s="2" t="s">
        <v>3</v>
      </c>
    </row>
    <row r="3" spans="2:5" x14ac:dyDescent="0.2">
      <c r="B3">
        <v>5</v>
      </c>
      <c r="C3">
        <v>10</v>
      </c>
      <c r="E3" t="s">
        <v>30</v>
      </c>
    </row>
    <row r="4" spans="2:5" x14ac:dyDescent="0.2">
      <c r="B4">
        <v>10</v>
      </c>
      <c r="C4">
        <v>20</v>
      </c>
      <c r="E4" t="s">
        <v>31</v>
      </c>
    </row>
    <row r="5" spans="2:5" x14ac:dyDescent="0.2">
      <c r="B5">
        <v>25</v>
      </c>
      <c r="C5">
        <v>30</v>
      </c>
      <c r="E5" t="s">
        <v>32</v>
      </c>
    </row>
    <row r="6" spans="2:5" x14ac:dyDescent="0.2">
      <c r="B6">
        <v>40</v>
      </c>
      <c r="C6">
        <v>40</v>
      </c>
      <c r="E6" t="s">
        <v>33</v>
      </c>
    </row>
    <row r="7" spans="2:5" x14ac:dyDescent="0.2">
      <c r="B7">
        <v>60</v>
      </c>
      <c r="C7">
        <v>45</v>
      </c>
      <c r="E7" t="s">
        <v>34</v>
      </c>
    </row>
    <row r="8" spans="2:5" x14ac:dyDescent="0.2">
      <c r="B8">
        <v>100</v>
      </c>
      <c r="C8">
        <v>50</v>
      </c>
      <c r="E8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050E8-9308-426A-AA23-04D00371B18D}">
  <sheetPr codeName="Sheet1"/>
  <dimension ref="A1:E11"/>
  <sheetViews>
    <sheetView zoomScale="189" workbookViewId="0">
      <selection activeCell="E6" sqref="E6"/>
    </sheetView>
  </sheetViews>
  <sheetFormatPr baseColWidth="10" defaultColWidth="8.83203125" defaultRowHeight="15" x14ac:dyDescent="0.2"/>
  <cols>
    <col min="3" max="3" width="11.83203125" bestFit="1" customWidth="1"/>
    <col min="4" max="4" width="14.5" bestFit="1" customWidth="1"/>
    <col min="5" max="5" width="16.83203125" bestFit="1" customWidth="1"/>
  </cols>
  <sheetData>
    <row r="1" spans="1:5" x14ac:dyDescent="0.2">
      <c r="A1" s="1" t="s">
        <v>0</v>
      </c>
      <c r="B1" s="1" t="s">
        <v>1</v>
      </c>
      <c r="D1" s="13" t="s">
        <v>36</v>
      </c>
      <c r="E1" s="13" t="s">
        <v>37</v>
      </c>
    </row>
    <row r="2" spans="1:5" x14ac:dyDescent="0.2">
      <c r="A2">
        <v>1</v>
      </c>
      <c r="B2">
        <v>500</v>
      </c>
      <c r="C2" s="14"/>
      <c r="D2" s="13">
        <v>613.70000000000005</v>
      </c>
      <c r="E2" s="13">
        <v>652.65</v>
      </c>
    </row>
    <row r="3" spans="1:5" x14ac:dyDescent="0.2">
      <c r="A3">
        <v>2</v>
      </c>
      <c r="B3">
        <v>750</v>
      </c>
    </row>
    <row r="4" spans="1:5" x14ac:dyDescent="0.2">
      <c r="A4">
        <v>3</v>
      </c>
      <c r="B4">
        <v>300</v>
      </c>
      <c r="D4" t="s">
        <v>38</v>
      </c>
      <c r="E4">
        <f>MIN(B2:B11)</f>
        <v>300</v>
      </c>
    </row>
    <row r="5" spans="1:5" x14ac:dyDescent="0.2">
      <c r="A5">
        <v>4</v>
      </c>
      <c r="B5">
        <v>800</v>
      </c>
      <c r="D5" t="s">
        <v>39</v>
      </c>
      <c r="E5">
        <f>MAX(B2:B11)</f>
        <v>823</v>
      </c>
    </row>
    <row r="6" spans="1:5" x14ac:dyDescent="0.2">
      <c r="A6">
        <v>5</v>
      </c>
      <c r="B6">
        <v>400</v>
      </c>
    </row>
    <row r="7" spans="1:5" x14ac:dyDescent="0.2">
      <c r="A7">
        <v>6</v>
      </c>
      <c r="B7">
        <v>675</v>
      </c>
    </row>
    <row r="8" spans="1:5" x14ac:dyDescent="0.2">
      <c r="A8">
        <v>7</v>
      </c>
      <c r="B8">
        <v>823</v>
      </c>
    </row>
    <row r="9" spans="1:5" x14ac:dyDescent="0.2">
      <c r="A9">
        <v>8</v>
      </c>
      <c r="B9">
        <v>504</v>
      </c>
    </row>
    <row r="10" spans="1:5" x14ac:dyDescent="0.2">
      <c r="A10">
        <v>9</v>
      </c>
      <c r="B10">
        <v>586</v>
      </c>
    </row>
    <row r="11" spans="1:5" x14ac:dyDescent="0.2">
      <c r="A11">
        <v>10</v>
      </c>
      <c r="B11">
        <v>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BA6-6817-4702-BCDF-33B3635DB86C}">
  <sheetPr codeName="Sheet2"/>
  <dimension ref="B1:D21"/>
  <sheetViews>
    <sheetView zoomScale="125" workbookViewId="0">
      <selection activeCell="D17" sqref="D17"/>
    </sheetView>
  </sheetViews>
  <sheetFormatPr baseColWidth="10" defaultColWidth="8.83203125" defaultRowHeight="15" x14ac:dyDescent="0.2"/>
  <cols>
    <col min="2" max="2" width="16" bestFit="1" customWidth="1"/>
    <col min="3" max="3" width="11.83203125" customWidth="1"/>
    <col min="4" max="5" width="14.1640625" bestFit="1" customWidth="1"/>
    <col min="7" max="7" width="9.83203125" bestFit="1" customWidth="1"/>
    <col min="8" max="8" width="11.83203125" bestFit="1" customWidth="1"/>
  </cols>
  <sheetData>
    <row r="1" spans="2:4" ht="87" customHeight="1" x14ac:dyDescent="0.35">
      <c r="C1" s="3" t="s">
        <v>4</v>
      </c>
    </row>
    <row r="4" spans="2:4" ht="47" x14ac:dyDescent="0.55000000000000004">
      <c r="B4" s="4">
        <v>2010</v>
      </c>
    </row>
    <row r="5" spans="2:4" ht="16" thickBot="1" x14ac:dyDescent="0.25"/>
    <row r="6" spans="2:4" ht="16" thickBot="1" x14ac:dyDescent="0.25">
      <c r="B6" s="5" t="s">
        <v>5</v>
      </c>
      <c r="C6" s="5" t="s">
        <v>6</v>
      </c>
      <c r="D6" s="5" t="s">
        <v>4</v>
      </c>
    </row>
    <row r="7" spans="2:4" x14ac:dyDescent="0.2">
      <c r="B7" s="6" t="s">
        <v>7</v>
      </c>
      <c r="C7" s="7">
        <v>6250.19</v>
      </c>
      <c r="D7" s="15">
        <v>937.52849999999989</v>
      </c>
    </row>
    <row r="8" spans="2:4" x14ac:dyDescent="0.2">
      <c r="B8" t="s">
        <v>8</v>
      </c>
      <c r="C8" s="8">
        <v>6754.65</v>
      </c>
      <c r="D8" s="15">
        <v>1013.1974999999999</v>
      </c>
    </row>
    <row r="9" spans="2:4" x14ac:dyDescent="0.2">
      <c r="B9" s="6" t="s">
        <v>9</v>
      </c>
      <c r="C9" s="9">
        <v>7572.63</v>
      </c>
      <c r="D9" s="15">
        <v>1135.8944999999999</v>
      </c>
    </row>
    <row r="10" spans="2:4" x14ac:dyDescent="0.2">
      <c r="B10" t="s">
        <v>10</v>
      </c>
      <c r="C10" s="8">
        <v>3425.9</v>
      </c>
      <c r="D10" s="15">
        <v>513.88499999999999</v>
      </c>
    </row>
    <row r="11" spans="2:4" ht="16" thickBot="1" x14ac:dyDescent="0.25">
      <c r="B11" s="10" t="s">
        <v>11</v>
      </c>
      <c r="C11" s="11">
        <v>9924.16</v>
      </c>
      <c r="D11" s="15">
        <v>1488.624</v>
      </c>
    </row>
    <row r="13" spans="2:4" x14ac:dyDescent="0.2">
      <c r="C13" s="12"/>
    </row>
    <row r="15" spans="2:4" ht="16" thickBot="1" x14ac:dyDescent="0.25"/>
    <row r="16" spans="2:4" ht="16" thickBot="1" x14ac:dyDescent="0.25">
      <c r="B16" s="5" t="s">
        <v>5</v>
      </c>
      <c r="C16" s="5" t="s">
        <v>6</v>
      </c>
      <c r="D16" s="5" t="s">
        <v>4</v>
      </c>
    </row>
    <row r="17" spans="2:4" x14ac:dyDescent="0.2">
      <c r="B17" s="6" t="s">
        <v>7</v>
      </c>
      <c r="C17" s="7">
        <v>6250.19</v>
      </c>
      <c r="D17" s="15" cm="1">
        <f t="array" ref="D17">calculateCommission(C17)</f>
        <v>937.52849999999989</v>
      </c>
    </row>
    <row r="18" spans="2:4" x14ac:dyDescent="0.2">
      <c r="B18" t="s">
        <v>8</v>
      </c>
      <c r="C18" s="8">
        <v>6754.65</v>
      </c>
      <c r="D18" s="15" cm="1">
        <f t="array" ref="D18">calculateCommission(C8)</f>
        <v>1013.1974999999999</v>
      </c>
    </row>
    <row r="19" spans="2:4" x14ac:dyDescent="0.2">
      <c r="B19" s="6" t="s">
        <v>9</v>
      </c>
      <c r="C19" s="9">
        <v>7572.63</v>
      </c>
      <c r="D19" s="15" cm="1">
        <f t="array" ref="D19">calculateCommission(C9)</f>
        <v>1135.8944999999999</v>
      </c>
    </row>
    <row r="20" spans="2:4" x14ac:dyDescent="0.2">
      <c r="B20" t="s">
        <v>10</v>
      </c>
      <c r="C20" s="8">
        <v>3425.9</v>
      </c>
      <c r="D20" s="15" cm="1">
        <f t="array" ref="D20">calculateCommission(C10)</f>
        <v>513.88499999999999</v>
      </c>
    </row>
    <row r="21" spans="2:4" ht="16" thickBot="1" x14ac:dyDescent="0.25">
      <c r="B21" s="10" t="s">
        <v>11</v>
      </c>
      <c r="C21" s="11">
        <v>9924.16</v>
      </c>
      <c r="D21" s="15" cm="1">
        <f t="array" ref="D21">calculateCommission(C11)</f>
        <v>1488.624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097E-CD5C-43B5-869D-D52152DE9243}">
  <sheetPr codeName="Sheet7">
    <tabColor rgb="FFFF0000"/>
  </sheetPr>
  <dimension ref="B1:D10"/>
  <sheetViews>
    <sheetView workbookViewId="0">
      <selection activeCell="F26" sqref="F26"/>
    </sheetView>
  </sheetViews>
  <sheetFormatPr baseColWidth="10" defaultColWidth="8.83203125" defaultRowHeight="15" x14ac:dyDescent="0.2"/>
  <cols>
    <col min="1" max="1" width="9.1640625" customWidth="1"/>
    <col min="2" max="2" width="13.33203125" customWidth="1"/>
  </cols>
  <sheetData>
    <row r="1" spans="2:4" ht="16" thickBot="1" x14ac:dyDescent="0.25"/>
    <row r="2" spans="2:4" ht="16" thickBot="1" x14ac:dyDescent="0.25">
      <c r="B2" s="5" t="s">
        <v>2</v>
      </c>
      <c r="C2" s="5" t="s">
        <v>3</v>
      </c>
    </row>
    <row r="3" spans="2:4" x14ac:dyDescent="0.2">
      <c r="B3">
        <v>5</v>
      </c>
      <c r="C3">
        <v>10</v>
      </c>
      <c r="D3">
        <v>50</v>
      </c>
    </row>
    <row r="4" spans="2:4" x14ac:dyDescent="0.2">
      <c r="B4">
        <v>50</v>
      </c>
      <c r="C4">
        <v>50</v>
      </c>
      <c r="D4">
        <v>2500</v>
      </c>
    </row>
    <row r="5" spans="2:4" x14ac:dyDescent="0.2">
      <c r="B5">
        <v>25</v>
      </c>
      <c r="C5">
        <v>30</v>
      </c>
      <c r="D5">
        <v>750</v>
      </c>
    </row>
    <row r="6" spans="2:4" x14ac:dyDescent="0.2">
      <c r="B6">
        <v>40</v>
      </c>
      <c r="C6">
        <v>40</v>
      </c>
      <c r="D6">
        <v>1600</v>
      </c>
    </row>
    <row r="7" spans="2:4" x14ac:dyDescent="0.2">
      <c r="B7">
        <v>60</v>
      </c>
      <c r="C7">
        <v>45</v>
      </c>
      <c r="D7">
        <v>2700</v>
      </c>
    </row>
    <row r="8" spans="2:4" x14ac:dyDescent="0.2">
      <c r="B8">
        <v>100</v>
      </c>
      <c r="C8">
        <v>50</v>
      </c>
      <c r="D8">
        <v>5000</v>
      </c>
    </row>
    <row r="10" spans="2:4" x14ac:dyDescent="0.2">
      <c r="B10" s="16" t="s">
        <v>40</v>
      </c>
      <c r="C10" s="16">
        <v>45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71E44-EBD7-4E30-9897-5C10885795FB}">
  <sheetPr codeName="Sheet8"/>
  <dimension ref="A2:B34"/>
  <sheetViews>
    <sheetView zoomScaleNormal="100" workbookViewId="0">
      <selection activeCell="C8" sqref="C8"/>
    </sheetView>
  </sheetViews>
  <sheetFormatPr baseColWidth="10" defaultColWidth="8.83203125" defaultRowHeight="15" x14ac:dyDescent="0.2"/>
  <sheetData>
    <row r="2" spans="1:2" ht="16" thickBot="1" x14ac:dyDescent="0.25"/>
    <row r="3" spans="1:2" ht="19" thickBot="1" x14ac:dyDescent="0.25">
      <c r="A3" s="17" t="s">
        <v>12</v>
      </c>
      <c r="B3" s="19" t="s">
        <v>13</v>
      </c>
    </row>
    <row r="4" spans="1:2" ht="18" x14ac:dyDescent="0.2">
      <c r="A4" s="18">
        <v>1</v>
      </c>
      <c r="B4" s="20">
        <v>1358</v>
      </c>
    </row>
    <row r="5" spans="1:2" ht="18" x14ac:dyDescent="0.2">
      <c r="A5" s="18">
        <v>2</v>
      </c>
      <c r="B5" s="20">
        <v>623</v>
      </c>
    </row>
    <row r="6" spans="1:2" ht="18" x14ac:dyDescent="0.2">
      <c r="A6" s="18">
        <v>3</v>
      </c>
      <c r="B6" s="20">
        <v>1170</v>
      </c>
    </row>
    <row r="7" spans="1:2" ht="18" x14ac:dyDescent="0.2">
      <c r="A7" s="18">
        <v>4</v>
      </c>
      <c r="B7" s="20">
        <v>1103</v>
      </c>
    </row>
    <row r="8" spans="1:2" ht="18" x14ac:dyDescent="0.2">
      <c r="A8" s="18">
        <v>5</v>
      </c>
      <c r="B8" s="20">
        <v>1376</v>
      </c>
    </row>
    <row r="9" spans="1:2" ht="18" x14ac:dyDescent="0.2">
      <c r="A9" s="18">
        <v>6</v>
      </c>
      <c r="B9" s="20">
        <v>1304</v>
      </c>
    </row>
    <row r="10" spans="1:2" ht="18" x14ac:dyDescent="0.2">
      <c r="A10" s="18">
        <v>7</v>
      </c>
      <c r="B10" s="20">
        <v>432</v>
      </c>
    </row>
    <row r="11" spans="1:2" ht="18" x14ac:dyDescent="0.2">
      <c r="A11" s="18">
        <v>8</v>
      </c>
      <c r="B11" s="20">
        <v>133</v>
      </c>
    </row>
    <row r="12" spans="1:2" ht="18" x14ac:dyDescent="0.2">
      <c r="A12" s="18">
        <v>9</v>
      </c>
      <c r="B12" s="20">
        <v>1100</v>
      </c>
    </row>
    <row r="13" spans="1:2" ht="18" x14ac:dyDescent="0.2">
      <c r="A13" s="18">
        <v>10</v>
      </c>
      <c r="B13" s="20">
        <v>772</v>
      </c>
    </row>
    <row r="14" spans="1:2" ht="18" x14ac:dyDescent="0.2">
      <c r="A14" s="18">
        <v>11</v>
      </c>
      <c r="B14" s="20">
        <v>1313</v>
      </c>
    </row>
    <row r="15" spans="1:2" ht="18" x14ac:dyDescent="0.2">
      <c r="A15" s="18">
        <v>12</v>
      </c>
      <c r="B15" s="20">
        <v>1044</v>
      </c>
    </row>
    <row r="16" spans="1:2" ht="18" x14ac:dyDescent="0.2">
      <c r="A16" s="18">
        <v>13</v>
      </c>
      <c r="B16" s="20">
        <v>289</v>
      </c>
    </row>
    <row r="17" spans="1:2" ht="18" x14ac:dyDescent="0.2">
      <c r="A17" s="18">
        <v>14</v>
      </c>
      <c r="B17" s="20">
        <v>966</v>
      </c>
    </row>
    <row r="18" spans="1:2" ht="18" x14ac:dyDescent="0.2">
      <c r="A18" s="18">
        <v>15</v>
      </c>
      <c r="B18" s="20">
        <v>1415</v>
      </c>
    </row>
    <row r="19" spans="1:2" ht="18" x14ac:dyDescent="0.2">
      <c r="A19" s="18">
        <v>16</v>
      </c>
      <c r="B19" s="20">
        <v>1094</v>
      </c>
    </row>
    <row r="20" spans="1:2" ht="18" x14ac:dyDescent="0.2">
      <c r="A20" s="18">
        <v>17</v>
      </c>
      <c r="B20" s="20">
        <v>884</v>
      </c>
    </row>
    <row r="21" spans="1:2" ht="18" x14ac:dyDescent="0.2">
      <c r="A21" s="18">
        <v>18</v>
      </c>
      <c r="B21" s="20">
        <v>962</v>
      </c>
    </row>
    <row r="22" spans="1:2" ht="18" x14ac:dyDescent="0.2">
      <c r="A22" s="18">
        <v>19</v>
      </c>
      <c r="B22" s="20">
        <v>1366</v>
      </c>
    </row>
    <row r="23" spans="1:2" ht="18" x14ac:dyDescent="0.2">
      <c r="A23" s="18">
        <v>20</v>
      </c>
      <c r="B23" s="20">
        <v>677</v>
      </c>
    </row>
    <row r="24" spans="1:2" ht="18" x14ac:dyDescent="0.2">
      <c r="A24" s="18">
        <v>21</v>
      </c>
      <c r="B24" s="20">
        <v>1141</v>
      </c>
    </row>
    <row r="25" spans="1:2" ht="18" x14ac:dyDescent="0.2">
      <c r="A25" s="18">
        <v>22</v>
      </c>
      <c r="B25" s="20">
        <v>384</v>
      </c>
    </row>
    <row r="26" spans="1:2" ht="18" x14ac:dyDescent="0.2">
      <c r="A26" s="18">
        <v>23</v>
      </c>
      <c r="B26" s="20">
        <v>1468</v>
      </c>
    </row>
    <row r="27" spans="1:2" ht="18" x14ac:dyDescent="0.2">
      <c r="A27" s="18">
        <v>24</v>
      </c>
      <c r="B27" s="20">
        <v>1290</v>
      </c>
    </row>
    <row r="28" spans="1:2" ht="18" x14ac:dyDescent="0.2">
      <c r="A28" s="18">
        <v>25</v>
      </c>
      <c r="B28" s="20">
        <v>792</v>
      </c>
    </row>
    <row r="29" spans="1:2" ht="18" x14ac:dyDescent="0.2">
      <c r="A29" s="18">
        <v>26</v>
      </c>
      <c r="B29" s="20">
        <v>734</v>
      </c>
    </row>
    <row r="30" spans="1:2" ht="18" x14ac:dyDescent="0.2">
      <c r="A30" s="18">
        <v>27</v>
      </c>
      <c r="B30" s="20">
        <v>910</v>
      </c>
    </row>
    <row r="31" spans="1:2" ht="18" x14ac:dyDescent="0.2">
      <c r="A31" s="18">
        <v>28</v>
      </c>
      <c r="B31" s="20">
        <v>167</v>
      </c>
    </row>
    <row r="32" spans="1:2" ht="18" x14ac:dyDescent="0.2">
      <c r="A32" s="18">
        <v>29</v>
      </c>
      <c r="B32" s="20">
        <v>369</v>
      </c>
    </row>
    <row r="33" spans="1:2" ht="18" x14ac:dyDescent="0.2">
      <c r="A33" s="18">
        <v>30</v>
      </c>
      <c r="B33" s="20">
        <v>645</v>
      </c>
    </row>
    <row r="34" spans="1:2" ht="18" x14ac:dyDescent="0.2">
      <c r="A34" s="18">
        <v>31</v>
      </c>
      <c r="B34" s="20">
        <v>677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E5487-A1C8-48CC-A889-B28DE310AFB0}">
  <sheetPr codeName="Sheet9"/>
  <dimension ref="A1:B101"/>
  <sheetViews>
    <sheetView workbookViewId="0">
      <selection activeCell="E15" sqref="E15"/>
    </sheetView>
  </sheetViews>
  <sheetFormatPr baseColWidth="10" defaultColWidth="8.83203125" defaultRowHeight="15" x14ac:dyDescent="0.2"/>
  <cols>
    <col min="2" max="2" width="10.5" bestFit="1" customWidth="1"/>
  </cols>
  <sheetData>
    <row r="1" spans="1:2" x14ac:dyDescent="0.2">
      <c r="A1" s="1" t="s">
        <v>14</v>
      </c>
      <c r="B1" s="1" t="s">
        <v>15</v>
      </c>
    </row>
    <row r="2" spans="1:2" x14ac:dyDescent="0.2">
      <c r="A2">
        <v>5</v>
      </c>
      <c r="B2">
        <v>5</v>
      </c>
    </row>
    <row r="3" spans="1:2" x14ac:dyDescent="0.2">
      <c r="A3">
        <v>4</v>
      </c>
      <c r="B3">
        <v>4</v>
      </c>
    </row>
    <row r="4" spans="1:2" x14ac:dyDescent="0.2">
      <c r="A4">
        <v>4</v>
      </c>
      <c r="B4">
        <v>4</v>
      </c>
    </row>
    <row r="5" spans="1:2" x14ac:dyDescent="0.2">
      <c r="A5">
        <v>2</v>
      </c>
      <c r="B5">
        <v>2</v>
      </c>
    </row>
    <row r="6" spans="1:2" x14ac:dyDescent="0.2">
      <c r="A6">
        <v>2</v>
      </c>
      <c r="B6">
        <v>2</v>
      </c>
    </row>
    <row r="7" spans="1:2" x14ac:dyDescent="0.2">
      <c r="A7">
        <v>5</v>
      </c>
      <c r="B7">
        <v>5</v>
      </c>
    </row>
    <row r="8" spans="1:2" x14ac:dyDescent="0.2">
      <c r="A8">
        <v>1</v>
      </c>
      <c r="B8">
        <v>1</v>
      </c>
    </row>
    <row r="9" spans="1:2" x14ac:dyDescent="0.2">
      <c r="A9">
        <v>5</v>
      </c>
      <c r="B9">
        <v>5</v>
      </c>
    </row>
    <row r="10" spans="1:2" x14ac:dyDescent="0.2">
      <c r="A10">
        <v>5</v>
      </c>
      <c r="B10">
        <v>5</v>
      </c>
    </row>
    <row r="11" spans="1:2" x14ac:dyDescent="0.2">
      <c r="A11">
        <v>5</v>
      </c>
      <c r="B11">
        <v>5</v>
      </c>
    </row>
    <row r="12" spans="1:2" x14ac:dyDescent="0.2">
      <c r="A12">
        <v>1</v>
      </c>
      <c r="B12">
        <v>1</v>
      </c>
    </row>
    <row r="13" spans="1:2" x14ac:dyDescent="0.2">
      <c r="A13">
        <v>3</v>
      </c>
      <c r="B13">
        <v>3</v>
      </c>
    </row>
    <row r="14" spans="1:2" x14ac:dyDescent="0.2">
      <c r="A14">
        <v>6</v>
      </c>
      <c r="B14">
        <v>6</v>
      </c>
    </row>
    <row r="15" spans="1:2" x14ac:dyDescent="0.2">
      <c r="A15">
        <v>5</v>
      </c>
      <c r="B15">
        <v>5</v>
      </c>
    </row>
    <row r="16" spans="1:2" x14ac:dyDescent="0.2">
      <c r="A16">
        <v>3</v>
      </c>
      <c r="B16">
        <v>3</v>
      </c>
    </row>
    <row r="17" spans="1:2" x14ac:dyDescent="0.2">
      <c r="A17">
        <v>6</v>
      </c>
      <c r="B17">
        <v>6</v>
      </c>
    </row>
    <row r="18" spans="1:2" x14ac:dyDescent="0.2">
      <c r="A18">
        <v>6</v>
      </c>
      <c r="B18">
        <v>6</v>
      </c>
    </row>
    <row r="19" spans="1:2" x14ac:dyDescent="0.2">
      <c r="A19">
        <v>1</v>
      </c>
      <c r="B19">
        <v>1</v>
      </c>
    </row>
    <row r="20" spans="1:2" x14ac:dyDescent="0.2">
      <c r="A20">
        <v>6</v>
      </c>
      <c r="B20">
        <v>6</v>
      </c>
    </row>
    <row r="21" spans="1:2" x14ac:dyDescent="0.2">
      <c r="A21">
        <v>3</v>
      </c>
      <c r="B21">
        <v>3</v>
      </c>
    </row>
    <row r="22" spans="1:2" x14ac:dyDescent="0.2">
      <c r="A22">
        <v>4</v>
      </c>
      <c r="B22">
        <v>4</v>
      </c>
    </row>
    <row r="23" spans="1:2" x14ac:dyDescent="0.2">
      <c r="A23">
        <v>5</v>
      </c>
      <c r="B23">
        <v>5</v>
      </c>
    </row>
    <row r="24" spans="1:2" x14ac:dyDescent="0.2">
      <c r="A24">
        <v>1</v>
      </c>
      <c r="B24">
        <v>1</v>
      </c>
    </row>
    <row r="25" spans="1:2" x14ac:dyDescent="0.2">
      <c r="A25">
        <v>4</v>
      </c>
      <c r="B25">
        <v>4</v>
      </c>
    </row>
    <row r="26" spans="1:2" x14ac:dyDescent="0.2">
      <c r="A26">
        <v>3</v>
      </c>
      <c r="B26">
        <v>3</v>
      </c>
    </row>
    <row r="27" spans="1:2" x14ac:dyDescent="0.2">
      <c r="A27">
        <v>2</v>
      </c>
      <c r="B27">
        <v>2</v>
      </c>
    </row>
    <row r="28" spans="1:2" x14ac:dyDescent="0.2">
      <c r="A28">
        <v>4</v>
      </c>
      <c r="B28">
        <v>4</v>
      </c>
    </row>
    <row r="29" spans="1:2" x14ac:dyDescent="0.2">
      <c r="A29">
        <v>4</v>
      </c>
      <c r="B29">
        <v>4</v>
      </c>
    </row>
    <row r="30" spans="1:2" x14ac:dyDescent="0.2">
      <c r="A30">
        <v>2</v>
      </c>
      <c r="B30">
        <v>2</v>
      </c>
    </row>
    <row r="31" spans="1:2" x14ac:dyDescent="0.2">
      <c r="A31">
        <v>2</v>
      </c>
      <c r="B31">
        <v>2</v>
      </c>
    </row>
    <row r="32" spans="1:2" x14ac:dyDescent="0.2">
      <c r="A32">
        <v>5</v>
      </c>
      <c r="B32">
        <v>5</v>
      </c>
    </row>
    <row r="33" spans="1:2" x14ac:dyDescent="0.2">
      <c r="A33">
        <v>5</v>
      </c>
      <c r="B33">
        <v>5</v>
      </c>
    </row>
    <row r="34" spans="1:2" x14ac:dyDescent="0.2">
      <c r="A34">
        <v>4</v>
      </c>
      <c r="B34">
        <v>4</v>
      </c>
    </row>
    <row r="35" spans="1:2" x14ac:dyDescent="0.2">
      <c r="A35">
        <v>6</v>
      </c>
      <c r="B35">
        <v>6</v>
      </c>
    </row>
    <row r="36" spans="1:2" x14ac:dyDescent="0.2">
      <c r="A36">
        <v>6</v>
      </c>
      <c r="B36">
        <v>6</v>
      </c>
    </row>
    <row r="37" spans="1:2" x14ac:dyDescent="0.2">
      <c r="A37">
        <v>2</v>
      </c>
      <c r="B37">
        <v>2</v>
      </c>
    </row>
    <row r="38" spans="1:2" x14ac:dyDescent="0.2">
      <c r="A38">
        <v>5</v>
      </c>
      <c r="B38">
        <v>5</v>
      </c>
    </row>
    <row r="39" spans="1:2" x14ac:dyDescent="0.2">
      <c r="A39">
        <v>6</v>
      </c>
      <c r="B39">
        <v>6</v>
      </c>
    </row>
    <row r="40" spans="1:2" x14ac:dyDescent="0.2">
      <c r="A40">
        <v>2</v>
      </c>
      <c r="B40">
        <v>2</v>
      </c>
    </row>
    <row r="41" spans="1:2" x14ac:dyDescent="0.2">
      <c r="A41">
        <v>4</v>
      </c>
      <c r="B41">
        <v>4</v>
      </c>
    </row>
    <row r="42" spans="1:2" x14ac:dyDescent="0.2">
      <c r="A42">
        <v>1</v>
      </c>
      <c r="B42">
        <v>1</v>
      </c>
    </row>
    <row r="43" spans="1:2" x14ac:dyDescent="0.2">
      <c r="A43">
        <v>6</v>
      </c>
      <c r="B43">
        <v>6</v>
      </c>
    </row>
    <row r="44" spans="1:2" x14ac:dyDescent="0.2">
      <c r="A44">
        <v>5</v>
      </c>
      <c r="B44">
        <v>5</v>
      </c>
    </row>
    <row r="45" spans="1:2" x14ac:dyDescent="0.2">
      <c r="A45">
        <v>1</v>
      </c>
      <c r="B45">
        <v>1</v>
      </c>
    </row>
    <row r="46" spans="1:2" x14ac:dyDescent="0.2">
      <c r="A46">
        <v>4</v>
      </c>
      <c r="B46">
        <v>4</v>
      </c>
    </row>
    <row r="47" spans="1:2" x14ac:dyDescent="0.2">
      <c r="A47">
        <v>1</v>
      </c>
      <c r="B47">
        <v>1</v>
      </c>
    </row>
    <row r="48" spans="1:2" x14ac:dyDescent="0.2">
      <c r="A48">
        <v>1</v>
      </c>
      <c r="B48">
        <v>1</v>
      </c>
    </row>
    <row r="49" spans="1:2" x14ac:dyDescent="0.2">
      <c r="A49">
        <v>5</v>
      </c>
      <c r="B49">
        <v>5</v>
      </c>
    </row>
    <row r="50" spans="1:2" x14ac:dyDescent="0.2">
      <c r="A50">
        <v>2</v>
      </c>
      <c r="B50">
        <v>2</v>
      </c>
    </row>
    <row r="51" spans="1:2" x14ac:dyDescent="0.2">
      <c r="A51">
        <v>1</v>
      </c>
      <c r="B51">
        <v>1</v>
      </c>
    </row>
    <row r="52" spans="1:2" x14ac:dyDescent="0.2">
      <c r="A52">
        <v>2</v>
      </c>
      <c r="B52">
        <v>2</v>
      </c>
    </row>
    <row r="53" spans="1:2" x14ac:dyDescent="0.2">
      <c r="A53">
        <v>3</v>
      </c>
      <c r="B53">
        <v>3</v>
      </c>
    </row>
    <row r="54" spans="1:2" x14ac:dyDescent="0.2">
      <c r="A54">
        <v>2</v>
      </c>
      <c r="B54">
        <v>2</v>
      </c>
    </row>
    <row r="55" spans="1:2" x14ac:dyDescent="0.2">
      <c r="A55">
        <v>6</v>
      </c>
      <c r="B55">
        <v>6</v>
      </c>
    </row>
    <row r="56" spans="1:2" x14ac:dyDescent="0.2">
      <c r="A56">
        <v>6</v>
      </c>
      <c r="B56">
        <v>6</v>
      </c>
    </row>
    <row r="57" spans="1:2" x14ac:dyDescent="0.2">
      <c r="A57">
        <v>3</v>
      </c>
      <c r="B57">
        <v>3</v>
      </c>
    </row>
    <row r="58" spans="1:2" x14ac:dyDescent="0.2">
      <c r="A58">
        <v>2</v>
      </c>
      <c r="B58">
        <v>2</v>
      </c>
    </row>
    <row r="59" spans="1:2" x14ac:dyDescent="0.2">
      <c r="A59">
        <v>1</v>
      </c>
      <c r="B59">
        <v>1</v>
      </c>
    </row>
    <row r="60" spans="1:2" x14ac:dyDescent="0.2">
      <c r="A60">
        <v>1</v>
      </c>
      <c r="B60">
        <v>1</v>
      </c>
    </row>
    <row r="61" spans="1:2" x14ac:dyDescent="0.2">
      <c r="A61">
        <v>4</v>
      </c>
      <c r="B61">
        <v>4</v>
      </c>
    </row>
    <row r="62" spans="1:2" x14ac:dyDescent="0.2">
      <c r="A62">
        <v>3</v>
      </c>
      <c r="B62">
        <v>3</v>
      </c>
    </row>
    <row r="63" spans="1:2" x14ac:dyDescent="0.2">
      <c r="A63">
        <v>3</v>
      </c>
      <c r="B63">
        <v>3</v>
      </c>
    </row>
    <row r="64" spans="1:2" x14ac:dyDescent="0.2">
      <c r="A64">
        <v>5</v>
      </c>
      <c r="B64">
        <v>5</v>
      </c>
    </row>
    <row r="65" spans="1:2" x14ac:dyDescent="0.2">
      <c r="A65">
        <v>2</v>
      </c>
      <c r="B65">
        <v>2</v>
      </c>
    </row>
    <row r="66" spans="1:2" x14ac:dyDescent="0.2">
      <c r="A66">
        <v>4</v>
      </c>
      <c r="B66">
        <v>4</v>
      </c>
    </row>
    <row r="67" spans="1:2" x14ac:dyDescent="0.2">
      <c r="A67">
        <v>2</v>
      </c>
      <c r="B67">
        <v>2</v>
      </c>
    </row>
    <row r="68" spans="1:2" x14ac:dyDescent="0.2">
      <c r="A68">
        <v>2</v>
      </c>
      <c r="B68">
        <v>2</v>
      </c>
    </row>
    <row r="69" spans="1:2" x14ac:dyDescent="0.2">
      <c r="A69">
        <v>4</v>
      </c>
      <c r="B69">
        <v>4</v>
      </c>
    </row>
    <row r="70" spans="1:2" x14ac:dyDescent="0.2">
      <c r="A70">
        <v>1</v>
      </c>
      <c r="B70">
        <v>1</v>
      </c>
    </row>
    <row r="71" spans="1:2" x14ac:dyDescent="0.2">
      <c r="A71">
        <v>3</v>
      </c>
      <c r="B71">
        <v>3</v>
      </c>
    </row>
    <row r="72" spans="1:2" x14ac:dyDescent="0.2">
      <c r="A72">
        <v>6</v>
      </c>
      <c r="B72">
        <v>6</v>
      </c>
    </row>
    <row r="73" spans="1:2" x14ac:dyDescent="0.2">
      <c r="A73">
        <v>2</v>
      </c>
      <c r="B73">
        <v>2</v>
      </c>
    </row>
    <row r="74" spans="1:2" x14ac:dyDescent="0.2">
      <c r="A74">
        <v>5</v>
      </c>
      <c r="B74">
        <v>5</v>
      </c>
    </row>
    <row r="75" spans="1:2" x14ac:dyDescent="0.2">
      <c r="A75">
        <v>3</v>
      </c>
      <c r="B75">
        <v>3</v>
      </c>
    </row>
    <row r="76" spans="1:2" x14ac:dyDescent="0.2">
      <c r="A76">
        <v>2</v>
      </c>
      <c r="B76">
        <v>2</v>
      </c>
    </row>
    <row r="77" spans="1:2" x14ac:dyDescent="0.2">
      <c r="A77">
        <v>6</v>
      </c>
      <c r="B77">
        <v>6</v>
      </c>
    </row>
    <row r="78" spans="1:2" x14ac:dyDescent="0.2">
      <c r="A78">
        <v>4</v>
      </c>
      <c r="B78">
        <v>4</v>
      </c>
    </row>
    <row r="79" spans="1:2" x14ac:dyDescent="0.2">
      <c r="A79">
        <v>4</v>
      </c>
      <c r="B79">
        <v>4</v>
      </c>
    </row>
    <row r="80" spans="1:2" x14ac:dyDescent="0.2">
      <c r="A80">
        <v>3</v>
      </c>
      <c r="B80">
        <v>3</v>
      </c>
    </row>
    <row r="81" spans="1:2" x14ac:dyDescent="0.2">
      <c r="A81">
        <v>1</v>
      </c>
      <c r="B81">
        <v>1</v>
      </c>
    </row>
    <row r="82" spans="1:2" x14ac:dyDescent="0.2">
      <c r="A82">
        <v>4</v>
      </c>
      <c r="B82">
        <v>4</v>
      </c>
    </row>
    <row r="83" spans="1:2" x14ac:dyDescent="0.2">
      <c r="A83">
        <v>5</v>
      </c>
      <c r="B83">
        <v>5</v>
      </c>
    </row>
    <row r="84" spans="1:2" x14ac:dyDescent="0.2">
      <c r="A84">
        <v>6</v>
      </c>
      <c r="B84">
        <v>6</v>
      </c>
    </row>
    <row r="85" spans="1:2" x14ac:dyDescent="0.2">
      <c r="A85">
        <v>6</v>
      </c>
      <c r="B85">
        <v>6</v>
      </c>
    </row>
    <row r="86" spans="1:2" x14ac:dyDescent="0.2">
      <c r="A86">
        <v>1</v>
      </c>
      <c r="B86">
        <v>1</v>
      </c>
    </row>
    <row r="87" spans="1:2" x14ac:dyDescent="0.2">
      <c r="A87">
        <v>4</v>
      </c>
      <c r="B87">
        <v>4</v>
      </c>
    </row>
    <row r="88" spans="1:2" x14ac:dyDescent="0.2">
      <c r="A88">
        <v>6</v>
      </c>
      <c r="B88">
        <v>6</v>
      </c>
    </row>
    <row r="89" spans="1:2" x14ac:dyDescent="0.2">
      <c r="A89">
        <v>3</v>
      </c>
      <c r="B89">
        <v>3</v>
      </c>
    </row>
    <row r="90" spans="1:2" x14ac:dyDescent="0.2">
      <c r="A90">
        <v>5</v>
      </c>
      <c r="B90">
        <v>5</v>
      </c>
    </row>
    <row r="91" spans="1:2" x14ac:dyDescent="0.2">
      <c r="A91">
        <v>4</v>
      </c>
      <c r="B91">
        <v>4</v>
      </c>
    </row>
    <row r="92" spans="1:2" x14ac:dyDescent="0.2">
      <c r="A92">
        <v>4</v>
      </c>
      <c r="B92">
        <v>4</v>
      </c>
    </row>
    <row r="93" spans="1:2" x14ac:dyDescent="0.2">
      <c r="A93">
        <v>3</v>
      </c>
      <c r="B93">
        <v>3</v>
      </c>
    </row>
    <row r="94" spans="1:2" x14ac:dyDescent="0.2">
      <c r="A94">
        <v>3</v>
      </c>
      <c r="B94">
        <v>3</v>
      </c>
    </row>
    <row r="95" spans="1:2" x14ac:dyDescent="0.2">
      <c r="A95">
        <v>3</v>
      </c>
      <c r="B95">
        <v>3</v>
      </c>
    </row>
    <row r="96" spans="1:2" x14ac:dyDescent="0.2">
      <c r="A96">
        <v>2</v>
      </c>
      <c r="B96">
        <v>2</v>
      </c>
    </row>
    <row r="97" spans="1:2" x14ac:dyDescent="0.2">
      <c r="A97">
        <v>1</v>
      </c>
      <c r="B97">
        <v>1</v>
      </c>
    </row>
    <row r="98" spans="1:2" x14ac:dyDescent="0.2">
      <c r="A98">
        <v>2</v>
      </c>
      <c r="B98">
        <v>2</v>
      </c>
    </row>
    <row r="99" spans="1:2" x14ac:dyDescent="0.2">
      <c r="A99">
        <v>6</v>
      </c>
      <c r="B99">
        <v>6</v>
      </c>
    </row>
    <row r="100" spans="1:2" x14ac:dyDescent="0.2">
      <c r="A100">
        <v>1</v>
      </c>
      <c r="B100">
        <v>1</v>
      </c>
    </row>
    <row r="101" spans="1:2" x14ac:dyDescent="0.2">
      <c r="A101">
        <v>3</v>
      </c>
      <c r="B101">
        <v>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526A-DC88-4129-8A24-F93860FC8A3A}">
  <sheetPr codeName="Sheet10">
    <tabColor rgb="FF00FF00"/>
  </sheetPr>
  <dimension ref="A1:D13"/>
  <sheetViews>
    <sheetView zoomScale="200" workbookViewId="0">
      <selection activeCell="F9" sqref="F9"/>
    </sheetView>
  </sheetViews>
  <sheetFormatPr baseColWidth="10" defaultColWidth="8.83203125" defaultRowHeight="15" x14ac:dyDescent="0.2"/>
  <cols>
    <col min="1" max="1" width="11.33203125" bestFit="1" customWidth="1"/>
    <col min="2" max="2" width="9.5" bestFit="1" customWidth="1"/>
    <col min="3" max="3" width="14.83203125" bestFit="1" customWidth="1"/>
    <col min="4" max="4" width="11.5" bestFit="1" customWidth="1"/>
  </cols>
  <sheetData>
    <row r="1" spans="1:4" x14ac:dyDescent="0.2">
      <c r="A1" s="1" t="s">
        <v>16</v>
      </c>
      <c r="B1" s="1" t="s">
        <v>17</v>
      </c>
      <c r="C1" s="1" t="s">
        <v>18</v>
      </c>
      <c r="D1" s="1" t="s">
        <v>19</v>
      </c>
    </row>
    <row r="2" spans="1:4" x14ac:dyDescent="0.2">
      <c r="A2" t="s">
        <v>20</v>
      </c>
      <c r="B2" s="7">
        <v>3.5</v>
      </c>
      <c r="C2">
        <v>2</v>
      </c>
      <c r="D2" s="7">
        <v>7</v>
      </c>
    </row>
    <row r="3" spans="1:4" x14ac:dyDescent="0.2">
      <c r="A3" t="s">
        <v>21</v>
      </c>
      <c r="B3" s="7">
        <v>1.75</v>
      </c>
      <c r="C3">
        <v>4</v>
      </c>
      <c r="D3" s="7">
        <v>14</v>
      </c>
    </row>
    <row r="4" spans="1:4" x14ac:dyDescent="0.2">
      <c r="A4" t="s">
        <v>22</v>
      </c>
      <c r="B4" s="7">
        <v>0.99</v>
      </c>
      <c r="C4">
        <v>2</v>
      </c>
      <c r="D4" s="7">
        <v>7</v>
      </c>
    </row>
    <row r="5" spans="1:4" x14ac:dyDescent="0.2">
      <c r="A5" t="s">
        <v>23</v>
      </c>
      <c r="B5" s="7">
        <v>4</v>
      </c>
      <c r="C5">
        <v>15</v>
      </c>
      <c r="D5" s="7">
        <v>52.5</v>
      </c>
    </row>
    <row r="6" spans="1:4" x14ac:dyDescent="0.2">
      <c r="A6" t="s">
        <v>24</v>
      </c>
      <c r="B6" s="7">
        <v>5</v>
      </c>
      <c r="C6">
        <v>8</v>
      </c>
      <c r="D6" s="7">
        <v>28</v>
      </c>
    </row>
    <row r="7" spans="1:4" x14ac:dyDescent="0.2">
      <c r="A7" t="s">
        <v>25</v>
      </c>
      <c r="B7" s="7">
        <v>4.95</v>
      </c>
      <c r="C7">
        <v>2</v>
      </c>
      <c r="D7" s="7">
        <v>7</v>
      </c>
    </row>
    <row r="8" spans="1:4" x14ac:dyDescent="0.2">
      <c r="A8" t="s">
        <v>26</v>
      </c>
      <c r="B8" s="7">
        <v>2.99</v>
      </c>
      <c r="C8">
        <v>20</v>
      </c>
      <c r="D8" s="7">
        <v>70</v>
      </c>
    </row>
    <row r="9" spans="1:4" x14ac:dyDescent="0.2">
      <c r="A9" t="s">
        <v>27</v>
      </c>
      <c r="B9" s="7">
        <v>6.5</v>
      </c>
      <c r="C9">
        <v>2</v>
      </c>
      <c r="D9" s="7">
        <v>7</v>
      </c>
    </row>
    <row r="10" spans="1:4" x14ac:dyDescent="0.2">
      <c r="A10" t="s">
        <v>28</v>
      </c>
      <c r="B10" s="7">
        <v>0.99</v>
      </c>
      <c r="C10">
        <v>10</v>
      </c>
      <c r="D10" s="7">
        <v>35</v>
      </c>
    </row>
    <row r="11" spans="1:4" x14ac:dyDescent="0.2">
      <c r="B11" s="7"/>
      <c r="C11" s="1" t="s">
        <v>29</v>
      </c>
      <c r="D11" s="7">
        <f>SUM(D2:D10)</f>
        <v>227.5</v>
      </c>
    </row>
    <row r="12" spans="1:4" x14ac:dyDescent="0.2">
      <c r="B12" s="7"/>
      <c r="D12" s="7"/>
    </row>
    <row r="13" spans="1:4" x14ac:dyDescent="0.2">
      <c r="D13" s="7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2240B-39DD-A445-913F-53CA998A6955}">
  <sheetPr codeName="Sheet3"/>
  <dimension ref="A1:D17"/>
  <sheetViews>
    <sheetView tabSelected="1" zoomScale="150" workbookViewId="0">
      <selection activeCell="C23" sqref="C23"/>
    </sheetView>
  </sheetViews>
  <sheetFormatPr baseColWidth="10" defaultRowHeight="15" x14ac:dyDescent="0.2"/>
  <cols>
    <col min="1" max="1" width="39.5" customWidth="1"/>
    <col min="2" max="2" width="17.33203125" customWidth="1"/>
    <col min="3" max="3" width="23.6640625" customWidth="1"/>
  </cols>
  <sheetData>
    <row r="1" spans="1:4" s="1" customFormat="1" x14ac:dyDescent="0.2">
      <c r="A1" s="1" t="s">
        <v>41</v>
      </c>
      <c r="B1" s="1" t="s">
        <v>63</v>
      </c>
      <c r="C1" s="1" t="s">
        <v>58</v>
      </c>
      <c r="D1" s="1" t="s">
        <v>59</v>
      </c>
    </row>
    <row r="2" spans="1:4" x14ac:dyDescent="0.2">
      <c r="A2" t="s">
        <v>55</v>
      </c>
      <c r="B2" t="s">
        <v>62</v>
      </c>
      <c r="C2" s="21" t="s">
        <v>62</v>
      </c>
      <c r="D2" t="s">
        <v>62</v>
      </c>
    </row>
    <row r="3" spans="1:4" x14ac:dyDescent="0.2">
      <c r="A3" t="s">
        <v>45</v>
      </c>
      <c r="B3" t="s">
        <v>61</v>
      </c>
      <c r="C3" s="21" t="s">
        <v>61</v>
      </c>
      <c r="D3" t="s">
        <v>61</v>
      </c>
    </row>
    <row r="4" spans="1:4" x14ac:dyDescent="0.2">
      <c r="A4" t="s">
        <v>46</v>
      </c>
      <c r="B4" t="s">
        <v>61</v>
      </c>
      <c r="C4" s="21" t="s">
        <v>61</v>
      </c>
      <c r="D4" t="s">
        <v>61</v>
      </c>
    </row>
    <row r="5" spans="1:4" x14ac:dyDescent="0.2">
      <c r="A5" t="s">
        <v>47</v>
      </c>
      <c r="B5" t="s">
        <v>61</v>
      </c>
      <c r="C5" s="21" t="s">
        <v>61</v>
      </c>
      <c r="D5" t="s">
        <v>61</v>
      </c>
    </row>
    <row r="6" spans="1:4" x14ac:dyDescent="0.2">
      <c r="A6" t="s">
        <v>54</v>
      </c>
      <c r="B6" t="s">
        <v>62</v>
      </c>
      <c r="C6" s="21" t="s">
        <v>62</v>
      </c>
      <c r="D6" t="s">
        <v>62</v>
      </c>
    </row>
    <row r="7" spans="1:4" x14ac:dyDescent="0.2">
      <c r="A7" t="s">
        <v>51</v>
      </c>
      <c r="B7" t="s">
        <v>62</v>
      </c>
      <c r="C7" s="21" t="s">
        <v>62</v>
      </c>
      <c r="D7" t="s">
        <v>61</v>
      </c>
    </row>
    <row r="8" spans="1:4" x14ac:dyDescent="0.2">
      <c r="A8" t="s">
        <v>42</v>
      </c>
      <c r="B8" t="s">
        <v>60</v>
      </c>
      <c r="C8" s="21" t="s">
        <v>60</v>
      </c>
      <c r="D8" t="s">
        <v>60</v>
      </c>
    </row>
    <row r="9" spans="1:4" x14ac:dyDescent="0.2">
      <c r="A9" t="s">
        <v>43</v>
      </c>
      <c r="B9" t="s">
        <v>62</v>
      </c>
      <c r="C9" s="21" t="s">
        <v>62</v>
      </c>
      <c r="D9" t="s">
        <v>60</v>
      </c>
    </row>
    <row r="10" spans="1:4" x14ac:dyDescent="0.2">
      <c r="A10" t="s">
        <v>44</v>
      </c>
      <c r="B10" t="s">
        <v>60</v>
      </c>
      <c r="C10" s="21" t="s">
        <v>60</v>
      </c>
      <c r="D10" t="s">
        <v>60</v>
      </c>
    </row>
    <row r="11" spans="1:4" x14ac:dyDescent="0.2">
      <c r="A11" t="s">
        <v>48</v>
      </c>
      <c r="B11" t="s">
        <v>62</v>
      </c>
      <c r="C11" s="21" t="s">
        <v>62</v>
      </c>
      <c r="D11" t="s">
        <v>62</v>
      </c>
    </row>
    <row r="12" spans="1:4" x14ac:dyDescent="0.2">
      <c r="A12" t="s">
        <v>56</v>
      </c>
      <c r="B12" t="s">
        <v>62</v>
      </c>
      <c r="C12" s="21" t="s">
        <v>62</v>
      </c>
      <c r="D12" t="s">
        <v>62</v>
      </c>
    </row>
    <row r="13" spans="1:4" x14ac:dyDescent="0.2">
      <c r="A13" t="s">
        <v>49</v>
      </c>
      <c r="B13" t="s">
        <v>61</v>
      </c>
      <c r="C13" s="21" t="s">
        <v>61</v>
      </c>
      <c r="D13" t="s">
        <v>61</v>
      </c>
    </row>
    <row r="14" spans="1:4" x14ac:dyDescent="0.2">
      <c r="A14" t="s">
        <v>50</v>
      </c>
      <c r="B14" t="s">
        <v>62</v>
      </c>
      <c r="C14" s="21" t="s">
        <v>62</v>
      </c>
      <c r="D14" t="s">
        <v>61</v>
      </c>
    </row>
    <row r="15" spans="1:4" x14ac:dyDescent="0.2">
      <c r="A15" t="s">
        <v>52</v>
      </c>
      <c r="B15" t="s">
        <v>61</v>
      </c>
      <c r="C15" s="21" t="s">
        <v>61</v>
      </c>
      <c r="D15" t="s">
        <v>61</v>
      </c>
    </row>
    <row r="16" spans="1:4" x14ac:dyDescent="0.2">
      <c r="A16" t="s">
        <v>53</v>
      </c>
      <c r="B16" t="s">
        <v>61</v>
      </c>
      <c r="C16" s="21" t="s">
        <v>61</v>
      </c>
      <c r="D16" t="s">
        <v>61</v>
      </c>
    </row>
    <row r="17" spans="1:4" x14ac:dyDescent="0.2">
      <c r="A17" t="s">
        <v>57</v>
      </c>
      <c r="B17" t="s">
        <v>62</v>
      </c>
      <c r="C17" s="21" t="s">
        <v>62</v>
      </c>
      <c r="D17" t="s">
        <v>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Commission</vt:lpstr>
      <vt:lpstr>shipping</vt:lpstr>
      <vt:lpstr>Month</vt:lpstr>
      <vt:lpstr>Dice</vt:lpstr>
      <vt:lpstr>Menu</vt:lpstr>
      <vt:lpstr>GenAIPrompt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</dc:creator>
  <cp:lastModifiedBy>Simran Abhay Sinha</cp:lastModifiedBy>
  <dcterms:created xsi:type="dcterms:W3CDTF">2018-03-19T15:01:33Z</dcterms:created>
  <dcterms:modified xsi:type="dcterms:W3CDTF">2025-01-29T03:49:25Z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5ca305ef-55ba-45a0-b5e9-077ffa09fa24</vt:lpwstr>
  </property>
</Properties>
</file>